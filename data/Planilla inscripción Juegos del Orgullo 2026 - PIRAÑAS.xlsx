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andro\Desktop\"/>
    </mc:Choice>
  </mc:AlternateContent>
  <bookViews>
    <workbookView xWindow="0" yWindow="0" windowWidth="20490" windowHeight="7650" firstSheet="1" activeTab="3"/>
  </bookViews>
  <sheets>
    <sheet name="Posta Americana" sheetId="1" state="hidden" r:id="rId1"/>
    <sheet name="Pruebas individuales" sheetId="3" r:id="rId2"/>
    <sheet name="Validación" sheetId="5" state="hidden" r:id="rId3"/>
    <sheet name="Postas por equipos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6" i="3" l="1"/>
  <c r="F56" i="3"/>
  <c r="G56" i="3" s="1"/>
  <c r="F69" i="3"/>
  <c r="G69" i="3" s="1"/>
  <c r="F10" i="3"/>
  <c r="G10" i="3" s="1"/>
  <c r="L66" i="3" l="1"/>
  <c r="F66" i="3"/>
  <c r="L11" i="3"/>
  <c r="F11" i="3"/>
  <c r="L9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7" i="3"/>
  <c r="L58" i="3"/>
  <c r="L59" i="3"/>
  <c r="L60" i="3"/>
  <c r="L61" i="3"/>
  <c r="L62" i="3"/>
  <c r="L63" i="3"/>
  <c r="L64" i="3"/>
  <c r="L65" i="3"/>
  <c r="L67" i="3"/>
  <c r="F28" i="3"/>
  <c r="F41" i="3"/>
  <c r="F45" i="3"/>
  <c r="F23" i="3"/>
  <c r="F45" i="4" l="1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44" i="4"/>
  <c r="F9" i="4"/>
  <c r="F10" i="4"/>
  <c r="F11" i="4"/>
  <c r="F13" i="4"/>
  <c r="F14" i="4"/>
  <c r="F15" i="4"/>
  <c r="F16" i="4"/>
  <c r="F17" i="4"/>
  <c r="F18" i="4"/>
  <c r="F19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8" i="3"/>
  <c r="F12" i="3"/>
  <c r="F13" i="3"/>
  <c r="F15" i="3"/>
  <c r="F16" i="3"/>
  <c r="F17" i="3"/>
  <c r="F18" i="3"/>
  <c r="F19" i="3"/>
  <c r="F20" i="3"/>
  <c r="F21" i="3"/>
  <c r="F22" i="3"/>
  <c r="F24" i="3"/>
  <c r="F27" i="3"/>
  <c r="F30" i="3"/>
  <c r="F31" i="3"/>
  <c r="F32" i="3"/>
  <c r="F33" i="3"/>
  <c r="F34" i="3"/>
  <c r="F35" i="3"/>
  <c r="F36" i="3"/>
  <c r="F37" i="3"/>
  <c r="F38" i="3"/>
  <c r="F39" i="3"/>
  <c r="F40" i="3"/>
  <c r="F44" i="3"/>
  <c r="F46" i="3"/>
  <c r="F47" i="3"/>
  <c r="F48" i="3"/>
  <c r="F49" i="3"/>
  <c r="F52" i="3"/>
  <c r="F53" i="3"/>
  <c r="F54" i="3"/>
  <c r="F55" i="3"/>
  <c r="F57" i="3"/>
  <c r="F58" i="3"/>
  <c r="F59" i="3"/>
  <c r="F60" i="3"/>
  <c r="F61" i="3"/>
  <c r="F62" i="3"/>
  <c r="F63" i="3"/>
  <c r="F64" i="3"/>
  <c r="F65" i="3"/>
  <c r="F67" i="3"/>
  <c r="F68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8" i="3"/>
  <c r="G12" i="3" l="1"/>
  <c r="G22" i="3"/>
  <c r="G70" i="3"/>
  <c r="G94" i="3"/>
  <c r="G106" i="3"/>
  <c r="G8" i="3"/>
  <c r="E30" i="1"/>
  <c r="E35" i="1"/>
  <c r="E34" i="1"/>
  <c r="E33" i="1"/>
  <c r="E32" i="1"/>
  <c r="E31" i="1"/>
  <c r="E14" i="1"/>
  <c r="E15" i="1"/>
  <c r="E16" i="1"/>
  <c r="E17" i="1"/>
  <c r="E18" i="1"/>
  <c r="E13" i="1"/>
  <c r="G13" i="3"/>
  <c r="G15" i="3"/>
  <c r="G16" i="3"/>
  <c r="G17" i="3"/>
  <c r="G18" i="3"/>
  <c r="G19" i="3"/>
  <c r="G20" i="3"/>
  <c r="G21" i="3"/>
  <c r="G24" i="3"/>
  <c r="G27" i="3"/>
  <c r="G30" i="3"/>
  <c r="G31" i="3"/>
  <c r="G32" i="3"/>
  <c r="G33" i="3"/>
  <c r="G34" i="3"/>
  <c r="G35" i="3"/>
  <c r="G36" i="3"/>
  <c r="G37" i="3"/>
  <c r="G38" i="3"/>
  <c r="G39" i="3"/>
  <c r="G40" i="3"/>
  <c r="G44" i="3"/>
  <c r="G46" i="3"/>
  <c r="G47" i="3"/>
  <c r="G48" i="3"/>
  <c r="G49" i="3"/>
  <c r="G52" i="3"/>
  <c r="G53" i="3"/>
  <c r="G54" i="3"/>
  <c r="G55" i="3"/>
  <c r="G57" i="3"/>
  <c r="G58" i="3"/>
  <c r="G59" i="3"/>
  <c r="G60" i="3"/>
  <c r="G61" i="3"/>
  <c r="G62" i="3"/>
  <c r="G63" i="3"/>
  <c r="G64" i="3"/>
  <c r="G65" i="3"/>
  <c r="G67" i="3"/>
  <c r="G68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5" i="3"/>
  <c r="G96" i="3"/>
  <c r="G97" i="3"/>
  <c r="G98" i="3"/>
  <c r="G99" i="3"/>
  <c r="G100" i="3"/>
  <c r="G101" i="3"/>
  <c r="G102" i="3"/>
  <c r="G103" i="3"/>
  <c r="G104" i="3"/>
  <c r="G105" i="3"/>
  <c r="G107" i="3"/>
  <c r="G108" i="3"/>
  <c r="G109" i="3"/>
  <c r="G110" i="3"/>
  <c r="G111" i="3"/>
  <c r="G112" i="3"/>
  <c r="G113" i="3"/>
  <c r="G114" i="3"/>
</calcChain>
</file>

<file path=xl/sharedStrings.xml><?xml version="1.0" encoding="utf-8"?>
<sst xmlns="http://schemas.openxmlformats.org/spreadsheetml/2006/main" count="501" uniqueCount="77">
  <si>
    <t>Planilla de Inscripción</t>
  </si>
  <si>
    <t>Club</t>
  </si>
  <si>
    <t>Equipo</t>
  </si>
  <si>
    <t>Categoría</t>
  </si>
  <si>
    <t>Entrenador</t>
  </si>
  <si>
    <t>Nadador</t>
  </si>
  <si>
    <t>Nombre y Apellido</t>
  </si>
  <si>
    <t>DNI</t>
  </si>
  <si>
    <t>Fecha nacimiento</t>
  </si>
  <si>
    <t>Edad</t>
  </si>
  <si>
    <t>Pruebas individuales</t>
  </si>
  <si>
    <t>Prueba</t>
  </si>
  <si>
    <t>Categoria</t>
  </si>
  <si>
    <t>Posta americana 6x100x40</t>
  </si>
  <si>
    <t>las demás se definirán dependiendo la cantidad de equipos inscriptos una vez concluida la etapa de preinscripciones</t>
  </si>
  <si>
    <t xml:space="preserve">Se pueden preinscribir la cantidad de Postas que deseen por equipo o institución, pero sólo las primeras dos quedarán automáticamente inscriptas, </t>
  </si>
  <si>
    <t>A</t>
  </si>
  <si>
    <t>B</t>
  </si>
  <si>
    <t>C</t>
  </si>
  <si>
    <t>D</t>
  </si>
  <si>
    <t>E</t>
  </si>
  <si>
    <t>F</t>
  </si>
  <si>
    <t>Género</t>
  </si>
  <si>
    <t>M</t>
  </si>
  <si>
    <t>Open</t>
  </si>
  <si>
    <t>Juegos del Orgullo 2025</t>
  </si>
  <si>
    <t>Tiempo sembrado</t>
  </si>
  <si>
    <t>Minutos</t>
  </si>
  <si>
    <t>Segundos</t>
  </si>
  <si>
    <t>Centésimas</t>
  </si>
  <si>
    <t>Natación - AAAJ</t>
  </si>
  <si>
    <t>Juegos del Orgullo 2026</t>
  </si>
  <si>
    <t>G</t>
  </si>
  <si>
    <t>H</t>
  </si>
  <si>
    <t>I</t>
  </si>
  <si>
    <t>J</t>
  </si>
  <si>
    <t>1 - 400 Libres</t>
  </si>
  <si>
    <t>5 - 200 Medley</t>
  </si>
  <si>
    <t>6-  50 Espalda</t>
  </si>
  <si>
    <t>7 - 50 Pecho - Bautismo</t>
  </si>
  <si>
    <t>4 - 50 Libres - Bautismo</t>
  </si>
  <si>
    <t>8 - 100 Libres</t>
  </si>
  <si>
    <t>9 - 50 Mariposa</t>
  </si>
  <si>
    <t>10 - 50 Espalda - Bautismo</t>
  </si>
  <si>
    <t>Posta 4x50 Libres</t>
  </si>
  <si>
    <t>11- 4x50 Medley</t>
  </si>
  <si>
    <t>Posta 4x50 Medley</t>
  </si>
  <si>
    <t>12- 4x50 Libres</t>
  </si>
  <si>
    <t>2 - 50 Libres</t>
  </si>
  <si>
    <t>3 - 50 Pecho</t>
  </si>
  <si>
    <t>PIRAÑAS</t>
  </si>
  <si>
    <t>Gonzalo Larran</t>
  </si>
  <si>
    <t>Sebastian Arias</t>
  </si>
  <si>
    <t>Lautaro Yapur</t>
  </si>
  <si>
    <t>Lucas Alfonso</t>
  </si>
  <si>
    <t>Martin Signifredi</t>
  </si>
  <si>
    <t>Jonatan Morabes</t>
  </si>
  <si>
    <t>Pablo Facciuto</t>
  </si>
  <si>
    <t>Victor Juarez</t>
  </si>
  <si>
    <t>Adelquis D´amante</t>
  </si>
  <si>
    <t>Roman Blanco</t>
  </si>
  <si>
    <t>Facundo Martinez</t>
  </si>
  <si>
    <t>Valentin Bussolini</t>
  </si>
  <si>
    <t>Pablo Villegas</t>
  </si>
  <si>
    <t>Nahuel Sosa</t>
  </si>
  <si>
    <t>Gaston Martinez</t>
  </si>
  <si>
    <t>Martin Giavarini</t>
  </si>
  <si>
    <t>Leonel Contreras</t>
  </si>
  <si>
    <t>Martin Morel</t>
  </si>
  <si>
    <t xml:space="preserve">Francisco Ribeiro Camargo </t>
  </si>
  <si>
    <t>Muriel Bravo</t>
  </si>
  <si>
    <t>Leandro Carletti</t>
  </si>
  <si>
    <t>Paulo Marques</t>
  </si>
  <si>
    <t>Claudio Avalos</t>
  </si>
  <si>
    <t>Pedro Gomes Bezerra</t>
  </si>
  <si>
    <t>00:31;00</t>
  </si>
  <si>
    <t>Gabriel Da 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</si>
</sst>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34343"/>
      <name val="Arial"/>
      <family val="2"/>
    </font>
    <font>
      <b/>
      <sz val="10"/>
      <color rgb="FF43434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0" fillId="0" borderId="13" xfId="0" applyBorder="1"/>
    <xf numFmtId="0" fontId="0" fillId="0" borderId="6" xfId="0" applyBorder="1"/>
    <xf numFmtId="0" fontId="0" fillId="0" borderId="14" xfId="0" applyBorder="1"/>
    <xf numFmtId="0" fontId="0" fillId="0" borderId="13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2" fillId="2" borderId="9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1" fillId="3" borderId="17" xfId="0" applyFont="1" applyFill="1" applyBorder="1" applyAlignment="1">
      <alignment horizontal="center"/>
    </xf>
    <xf numFmtId="0" fontId="5" fillId="0" borderId="0" xfId="0" applyFont="1"/>
    <xf numFmtId="14" fontId="0" fillId="0" borderId="0" xfId="0" applyNumberFormat="1"/>
    <xf numFmtId="14" fontId="2" fillId="2" borderId="9" xfId="0" applyNumberFormat="1" applyFont="1" applyFill="1" applyBorder="1" applyAlignment="1">
      <alignment horizontal="center"/>
    </xf>
    <xf numFmtId="14" fontId="0" fillId="0" borderId="11" xfId="0" applyNumberFormat="1" applyBorder="1"/>
    <xf numFmtId="14" fontId="0" fillId="0" borderId="13" xfId="0" applyNumberFormat="1" applyBorder="1"/>
    <xf numFmtId="14" fontId="0" fillId="0" borderId="16" xfId="0" applyNumberFormat="1" applyBorder="1"/>
    <xf numFmtId="14" fontId="0" fillId="0" borderId="14" xfId="0" applyNumberFormat="1" applyBorder="1"/>
    <xf numFmtId="1" fontId="0" fillId="0" borderId="0" xfId="0" applyNumberFormat="1"/>
    <xf numFmtId="0" fontId="2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2" fontId="2" fillId="2" borderId="19" xfId="0" applyNumberFormat="1" applyFont="1" applyFill="1" applyBorder="1" applyAlignment="1">
      <alignment horizontal="center"/>
    </xf>
    <xf numFmtId="1" fontId="0" fillId="0" borderId="13" xfId="0" applyNumberFormat="1" applyBorder="1"/>
    <xf numFmtId="0" fontId="2" fillId="2" borderId="20" xfId="0" applyFont="1" applyFill="1" applyBorder="1" applyAlignment="1">
      <alignment horizontal="center"/>
    </xf>
    <xf numFmtId="14" fontId="2" fillId="2" borderId="20" xfId="0" applyNumberFormat="1" applyFont="1" applyFill="1" applyBorder="1" applyAlignment="1">
      <alignment horizontal="center"/>
    </xf>
    <xf numFmtId="1" fontId="2" fillId="2" borderId="20" xfId="0" applyNumberFormat="1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1" fontId="2" fillId="2" borderId="22" xfId="0" applyNumberFormat="1" applyFont="1" applyFill="1" applyBorder="1" applyAlignment="1">
      <alignment horizontal="center"/>
    </xf>
    <xf numFmtId="0" fontId="6" fillId="0" borderId="0" xfId="0" applyFont="1"/>
    <xf numFmtId="0" fontId="0" fillId="0" borderId="0" xfId="0" applyBorder="1"/>
    <xf numFmtId="0" fontId="5" fillId="0" borderId="13" xfId="0" applyFont="1" applyBorder="1"/>
    <xf numFmtId="0" fontId="7" fillId="0" borderId="0" xfId="0" applyFont="1"/>
    <xf numFmtId="0" fontId="5" fillId="0" borderId="23" xfId="0" applyFont="1" applyBorder="1"/>
    <xf numFmtId="0" fontId="7" fillId="0" borderId="13" xfId="0" applyFont="1" applyBorder="1"/>
    <xf numFmtId="0" fontId="7" fillId="0" borderId="0" xfId="0" applyFont="1" applyBorder="1"/>
    <xf numFmtId="14" fontId="0" fillId="0" borderId="0" xfId="0" applyNumberFormat="1" applyBorder="1"/>
    <xf numFmtId="1" fontId="0" fillId="0" borderId="0" xfId="0" applyNumberFormat="1" applyBorder="1"/>
    <xf numFmtId="1" fontId="0" fillId="0" borderId="13" xfId="0" applyNumberFormat="1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0</xdr:row>
      <xdr:rowOff>152400</xdr:rowOff>
    </xdr:from>
    <xdr:to>
      <xdr:col>5</xdr:col>
      <xdr:colOff>685800</xdr:colOff>
      <xdr:row>4</xdr:row>
      <xdr:rowOff>156567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73A465-D5F0-4811-B5BF-2B2E766CD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450" y="152400"/>
          <a:ext cx="1571625" cy="766167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0</xdr:row>
      <xdr:rowOff>28575</xdr:rowOff>
    </xdr:from>
    <xdr:to>
      <xdr:col>7</xdr:col>
      <xdr:colOff>104775</xdr:colOff>
      <xdr:row>5</xdr:row>
      <xdr:rowOff>154046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1EC3FFD-36ED-4E6F-ACED-8D89B5715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0" y="28575"/>
          <a:ext cx="847725" cy="10779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1</xdr:row>
      <xdr:rowOff>28575</xdr:rowOff>
    </xdr:from>
    <xdr:to>
      <xdr:col>10</xdr:col>
      <xdr:colOff>209550</xdr:colOff>
      <xdr:row>5</xdr:row>
      <xdr:rowOff>32742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00610C-3812-4F33-8221-6D1966C7F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5175" y="219075"/>
          <a:ext cx="1571625" cy="766167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714375</xdr:colOff>
      <xdr:row>0</xdr:row>
      <xdr:rowOff>161926</xdr:rowOff>
    </xdr:from>
    <xdr:to>
      <xdr:col>11</xdr:col>
      <xdr:colOff>680991</xdr:colOff>
      <xdr:row>5</xdr:row>
      <xdr:rowOff>123826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C6ADA0D-BA5F-4EA5-B948-7C7170990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1625" y="161926"/>
          <a:ext cx="719091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876300</xdr:colOff>
      <xdr:row>1</xdr:row>
      <xdr:rowOff>47625</xdr:rowOff>
    </xdr:from>
    <xdr:to>
      <xdr:col>5</xdr:col>
      <xdr:colOff>323850</xdr:colOff>
      <xdr:row>5</xdr:row>
      <xdr:rowOff>51792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03A8CE-2CB6-45CC-A288-A60EFD713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925" y="238125"/>
          <a:ext cx="1571625" cy="766167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0</xdr:row>
      <xdr:rowOff>152400</xdr:rowOff>
    </xdr:from>
    <xdr:to>
      <xdr:col>6</xdr:col>
      <xdr:colOff>876300</xdr:colOff>
      <xdr:row>5</xdr:row>
      <xdr:rowOff>180976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9EF44E-E307-4678-8788-16521E03B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152400"/>
          <a:ext cx="771525" cy="9810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workbookViewId="0">
      <selection activeCell="A3" sqref="A3"/>
    </sheetView>
  </sheetViews>
  <sheetFormatPr baseColWidth="10" defaultRowHeight="15" x14ac:dyDescent="0.25"/>
  <cols>
    <col min="2" max="2" width="17.85546875" bestFit="1" customWidth="1"/>
    <col min="3" max="3" width="14.85546875" customWidth="1"/>
    <col min="4" max="4" width="17.85546875" style="19" bestFit="1" customWidth="1"/>
    <col min="5" max="6" width="16.7109375" bestFit="1" customWidth="1"/>
    <col min="8" max="8" width="21" bestFit="1" customWidth="1"/>
  </cols>
  <sheetData>
    <row r="1" spans="1:10" x14ac:dyDescent="0.25">
      <c r="A1" s="14" t="s">
        <v>25</v>
      </c>
    </row>
    <row r="2" spans="1:10" x14ac:dyDescent="0.25">
      <c r="A2" s="14" t="s">
        <v>30</v>
      </c>
      <c r="E2" s="16"/>
    </row>
    <row r="3" spans="1:10" x14ac:dyDescent="0.25">
      <c r="A3" s="15"/>
    </row>
    <row r="4" spans="1:10" x14ac:dyDescent="0.25">
      <c r="A4" s="14" t="s">
        <v>0</v>
      </c>
    </row>
    <row r="5" spans="1:10" x14ac:dyDescent="0.25">
      <c r="A5" s="14" t="s">
        <v>13</v>
      </c>
    </row>
    <row r="6" spans="1:10" ht="15.75" thickBot="1" x14ac:dyDescent="0.3"/>
    <row r="7" spans="1:10" ht="15.75" thickBot="1" x14ac:dyDescent="0.3">
      <c r="A7" s="17" t="s">
        <v>1</v>
      </c>
      <c r="B7" s="58"/>
      <c r="C7" s="58"/>
      <c r="D7" s="59"/>
    </row>
    <row r="8" spans="1:10" ht="15.75" thickBot="1" x14ac:dyDescent="0.3">
      <c r="A8" s="17" t="s">
        <v>2</v>
      </c>
      <c r="B8" s="54"/>
      <c r="C8" s="54"/>
      <c r="D8" s="55"/>
    </row>
    <row r="9" spans="1:10" ht="15.75" thickBot="1" x14ac:dyDescent="0.3">
      <c r="A9" s="17" t="s">
        <v>3</v>
      </c>
      <c r="B9" s="54"/>
      <c r="C9" s="54"/>
      <c r="D9" s="55"/>
    </row>
    <row r="10" spans="1:10" ht="15.75" thickBot="1" x14ac:dyDescent="0.3">
      <c r="A10" s="17" t="s">
        <v>4</v>
      </c>
      <c r="B10" s="56"/>
      <c r="C10" s="56"/>
      <c r="D10" s="57"/>
    </row>
    <row r="11" spans="1:10" ht="15.75" thickBot="1" x14ac:dyDescent="0.3"/>
    <row r="12" spans="1:10" ht="15.75" thickBot="1" x14ac:dyDescent="0.3">
      <c r="A12" s="13" t="s">
        <v>5</v>
      </c>
      <c r="B12" s="13" t="s">
        <v>6</v>
      </c>
      <c r="C12" s="13" t="s">
        <v>7</v>
      </c>
      <c r="D12" s="20" t="s">
        <v>8</v>
      </c>
      <c r="E12" s="13" t="s">
        <v>9</v>
      </c>
      <c r="F12" s="1"/>
      <c r="G12" s="1"/>
      <c r="H12" s="1"/>
      <c r="I12" s="1"/>
      <c r="J12" s="1"/>
    </row>
    <row r="13" spans="1:10" x14ac:dyDescent="0.25">
      <c r="A13" s="2">
        <v>1</v>
      </c>
      <c r="B13" s="3"/>
      <c r="C13" s="3"/>
      <c r="D13" s="21"/>
      <c r="E13" s="4">
        <f ca="1">DATEDIF(D13,TODAY(),"Y")</f>
        <v>126</v>
      </c>
    </row>
    <row r="14" spans="1:10" x14ac:dyDescent="0.25">
      <c r="A14" s="5">
        <v>2</v>
      </c>
      <c r="B14" s="6"/>
      <c r="C14" s="6"/>
      <c r="D14" s="22"/>
      <c r="E14" s="4">
        <f t="shared" ref="E14:E18" ca="1" si="0">DATEDIF(D14,TODAY(),"Y")</f>
        <v>126</v>
      </c>
    </row>
    <row r="15" spans="1:10" x14ac:dyDescent="0.25">
      <c r="A15" s="5">
        <v>3</v>
      </c>
      <c r="B15" s="6"/>
      <c r="C15" s="6"/>
      <c r="D15" s="22"/>
      <c r="E15" s="4">
        <f t="shared" ca="1" si="0"/>
        <v>126</v>
      </c>
    </row>
    <row r="16" spans="1:10" x14ac:dyDescent="0.25">
      <c r="A16" s="5">
        <v>4</v>
      </c>
      <c r="B16" s="6"/>
      <c r="C16" s="6"/>
      <c r="D16" s="22"/>
      <c r="E16" s="4">
        <f t="shared" ca="1" si="0"/>
        <v>126</v>
      </c>
    </row>
    <row r="17" spans="1:9" x14ac:dyDescent="0.25">
      <c r="A17" s="11">
        <v>5</v>
      </c>
      <c r="B17" s="12"/>
      <c r="C17" s="12"/>
      <c r="D17" s="23"/>
      <c r="E17" s="4">
        <f t="shared" ca="1" si="0"/>
        <v>126</v>
      </c>
    </row>
    <row r="18" spans="1:9" ht="15.75" thickBot="1" x14ac:dyDescent="0.3">
      <c r="A18" s="7">
        <v>6</v>
      </c>
      <c r="B18" s="8"/>
      <c r="C18" s="8"/>
      <c r="D18" s="24"/>
      <c r="E18" s="4">
        <f t="shared" ca="1" si="0"/>
        <v>126</v>
      </c>
    </row>
    <row r="20" spans="1:9" x14ac:dyDescent="0.25">
      <c r="A20" s="18" t="s">
        <v>15</v>
      </c>
    </row>
    <row r="21" spans="1:9" x14ac:dyDescent="0.25">
      <c r="A21" s="18" t="s">
        <v>14</v>
      </c>
    </row>
    <row r="23" spans="1:9" ht="15.75" thickBot="1" x14ac:dyDescent="0.3"/>
    <row r="24" spans="1:9" ht="15.75" thickBot="1" x14ac:dyDescent="0.3">
      <c r="A24" s="17" t="s">
        <v>1</v>
      </c>
      <c r="B24" s="58"/>
      <c r="C24" s="58"/>
      <c r="D24" s="59"/>
    </row>
    <row r="25" spans="1:9" ht="15.75" thickBot="1" x14ac:dyDescent="0.3">
      <c r="A25" s="17" t="s">
        <v>2</v>
      </c>
      <c r="B25" s="54"/>
      <c r="C25" s="54"/>
      <c r="D25" s="55"/>
    </row>
    <row r="26" spans="1:9" ht="15.75" thickBot="1" x14ac:dyDescent="0.3">
      <c r="A26" s="17" t="s">
        <v>3</v>
      </c>
      <c r="B26" s="54"/>
      <c r="C26" s="54"/>
      <c r="D26" s="55"/>
    </row>
    <row r="27" spans="1:9" ht="15.75" thickBot="1" x14ac:dyDescent="0.3">
      <c r="A27" s="17" t="s">
        <v>4</v>
      </c>
      <c r="B27" s="56"/>
      <c r="C27" s="56"/>
      <c r="D27" s="57"/>
    </row>
    <row r="28" spans="1:9" ht="15.75" thickBot="1" x14ac:dyDescent="0.3"/>
    <row r="29" spans="1:9" ht="15.75" thickBot="1" x14ac:dyDescent="0.3">
      <c r="A29" s="13" t="s">
        <v>5</v>
      </c>
      <c r="B29" s="13" t="s">
        <v>6</v>
      </c>
      <c r="C29" s="13" t="s">
        <v>7</v>
      </c>
      <c r="D29" s="20" t="s">
        <v>8</v>
      </c>
      <c r="E29" s="13" t="s">
        <v>9</v>
      </c>
      <c r="F29" s="1"/>
      <c r="G29" s="1"/>
      <c r="H29" s="1"/>
      <c r="I29" s="1"/>
    </row>
    <row r="30" spans="1:9" x14ac:dyDescent="0.25">
      <c r="A30" s="2">
        <v>1</v>
      </c>
      <c r="B30" s="3"/>
      <c r="C30" s="3"/>
      <c r="D30" s="21"/>
      <c r="E30" s="4">
        <f ca="1">DATEDIF(D30,TODAY(),"Y")</f>
        <v>126</v>
      </c>
    </row>
    <row r="31" spans="1:9" x14ac:dyDescent="0.25">
      <c r="A31" s="5">
        <v>2</v>
      </c>
      <c r="B31" s="6"/>
      <c r="C31" s="6"/>
      <c r="D31" s="22"/>
      <c r="E31" s="4">
        <f t="shared" ref="E31:E35" ca="1" si="1">DATEDIF(D31,TODAY(),"Y")</f>
        <v>126</v>
      </c>
    </row>
    <row r="32" spans="1:9" x14ac:dyDescent="0.25">
      <c r="A32" s="5">
        <v>3</v>
      </c>
      <c r="B32" s="6"/>
      <c r="C32" s="6"/>
      <c r="D32" s="22"/>
      <c r="E32" s="4">
        <f t="shared" ca="1" si="1"/>
        <v>126</v>
      </c>
    </row>
    <row r="33" spans="1:5" x14ac:dyDescent="0.25">
      <c r="A33" s="5">
        <v>4</v>
      </c>
      <c r="B33" s="6"/>
      <c r="C33" s="6"/>
      <c r="D33" s="22"/>
      <c r="E33" s="4">
        <f t="shared" ca="1" si="1"/>
        <v>126</v>
      </c>
    </row>
    <row r="34" spans="1:5" x14ac:dyDescent="0.25">
      <c r="A34" s="11">
        <v>5</v>
      </c>
      <c r="B34" s="12"/>
      <c r="C34" s="12"/>
      <c r="D34" s="23"/>
      <c r="E34" s="4">
        <f t="shared" ca="1" si="1"/>
        <v>126</v>
      </c>
    </row>
    <row r="35" spans="1:5" ht="15.75" thickBot="1" x14ac:dyDescent="0.3">
      <c r="A35" s="7">
        <v>6</v>
      </c>
      <c r="B35" s="8"/>
      <c r="C35" s="8"/>
      <c r="D35" s="24"/>
      <c r="E35" s="4">
        <f t="shared" ca="1" si="1"/>
        <v>126</v>
      </c>
    </row>
    <row r="37" spans="1:5" x14ac:dyDescent="0.25">
      <c r="A37" s="18" t="s">
        <v>15</v>
      </c>
    </row>
    <row r="38" spans="1:5" x14ac:dyDescent="0.25">
      <c r="A38" s="18" t="s">
        <v>14</v>
      </c>
    </row>
  </sheetData>
  <mergeCells count="8">
    <mergeCell ref="B25:D25"/>
    <mergeCell ref="B26:D26"/>
    <mergeCell ref="B27:D27"/>
    <mergeCell ref="B7:D7"/>
    <mergeCell ref="B8:D8"/>
    <mergeCell ref="B9:D9"/>
    <mergeCell ref="B10:D10"/>
    <mergeCell ref="B24:D24"/>
  </mergeCells>
  <pageMargins left="0.7" right="0.7" top="0.75" bottom="0.75" header="0.3" footer="0.3"/>
  <pageSetup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4"/>
  <sheetViews>
    <sheetView topLeftCell="A49" zoomScaleNormal="100" workbookViewId="0">
      <selection activeCell="C70" sqref="C70"/>
    </sheetView>
  </sheetViews>
  <sheetFormatPr baseColWidth="10" defaultRowHeight="15" x14ac:dyDescent="0.25"/>
  <cols>
    <col min="2" max="2" width="21.42578125" bestFit="1" customWidth="1"/>
    <col min="3" max="3" width="26.7109375" bestFit="1" customWidth="1"/>
    <col min="4" max="4" width="12.5703125" customWidth="1"/>
    <col min="5" max="5" width="16.7109375" style="19" bestFit="1" customWidth="1"/>
    <col min="6" max="6" width="9.28515625" style="25" customWidth="1"/>
    <col min="7" max="7" width="16.7109375" customWidth="1"/>
    <col min="8" max="8" width="7.7109375" bestFit="1" customWidth="1"/>
    <col min="9" max="9" width="8.42578125" style="25" bestFit="1" customWidth="1"/>
    <col min="10" max="10" width="9.5703125" style="25" bestFit="1" customWidth="1"/>
    <col min="11" max="11" width="11.28515625" style="25" bestFit="1" customWidth="1"/>
    <col min="12" max="12" width="18.7109375" bestFit="1" customWidth="1"/>
  </cols>
  <sheetData>
    <row r="1" spans="1:12" x14ac:dyDescent="0.25">
      <c r="A1" s="14" t="s">
        <v>31</v>
      </c>
    </row>
    <row r="2" spans="1:12" x14ac:dyDescent="0.25">
      <c r="A2" s="14" t="s">
        <v>30</v>
      </c>
    </row>
    <row r="4" spans="1:12" x14ac:dyDescent="0.25">
      <c r="A4" s="14" t="s">
        <v>0</v>
      </c>
    </row>
    <row r="5" spans="1:12" x14ac:dyDescent="0.25">
      <c r="A5" s="14" t="s">
        <v>10</v>
      </c>
    </row>
    <row r="6" spans="1:12" ht="15.75" thickBot="1" x14ac:dyDescent="0.3"/>
    <row r="7" spans="1:12" x14ac:dyDescent="0.25">
      <c r="A7" s="31" t="s">
        <v>2</v>
      </c>
      <c r="B7" s="31" t="s">
        <v>11</v>
      </c>
      <c r="C7" s="31" t="s">
        <v>6</v>
      </c>
      <c r="D7" s="31" t="s">
        <v>7</v>
      </c>
      <c r="E7" s="32" t="s">
        <v>8</v>
      </c>
      <c r="F7" s="33" t="s">
        <v>9</v>
      </c>
      <c r="G7" s="34" t="s">
        <v>3</v>
      </c>
      <c r="H7" s="35" t="s">
        <v>22</v>
      </c>
      <c r="I7" s="36" t="s">
        <v>27</v>
      </c>
      <c r="J7" s="36" t="s">
        <v>28</v>
      </c>
      <c r="K7" s="36" t="s">
        <v>29</v>
      </c>
      <c r="L7" s="29" t="s">
        <v>26</v>
      </c>
    </row>
    <row r="8" spans="1:12" x14ac:dyDescent="0.25">
      <c r="A8" s="6" t="s">
        <v>50</v>
      </c>
      <c r="B8" s="6" t="s">
        <v>48</v>
      </c>
      <c r="C8" s="41" t="s">
        <v>51</v>
      </c>
      <c r="D8" s="42">
        <v>31404363</v>
      </c>
      <c r="E8" s="22">
        <v>31141</v>
      </c>
      <c r="F8" s="30">
        <f>DATEDIF(E8,DATE(2026,12,31),"Y")</f>
        <v>41</v>
      </c>
      <c r="G8" s="6" t="str">
        <f>+VLOOKUP(F8,Validación!C:D,2,FALSE)</f>
        <v>E</v>
      </c>
      <c r="H8" s="6" t="s">
        <v>23</v>
      </c>
      <c r="I8" s="30">
        <v>0</v>
      </c>
      <c r="J8" s="30">
        <v>36</v>
      </c>
      <c r="K8" s="30">
        <v>0</v>
      </c>
      <c r="L8" s="6" t="str">
        <f>TEXT(I8,"00")&amp;":"&amp;TEXT(J8,"00")&amp;","&amp;TEXT(K8,"00")</f>
        <v>00:36,00</v>
      </c>
    </row>
    <row r="9" spans="1:12" x14ac:dyDescent="0.25">
      <c r="A9" s="6" t="s">
        <v>50</v>
      </c>
      <c r="B9" s="6" t="s">
        <v>48</v>
      </c>
      <c r="C9" s="41" t="s">
        <v>73</v>
      </c>
      <c r="D9" s="37">
        <v>28829308</v>
      </c>
      <c r="E9" s="22">
        <v>29755</v>
      </c>
      <c r="F9" s="30">
        <v>45</v>
      </c>
      <c r="G9" s="6" t="s">
        <v>21</v>
      </c>
      <c r="H9" s="6" t="s">
        <v>23</v>
      </c>
      <c r="I9" s="30">
        <v>0</v>
      </c>
      <c r="J9" s="30">
        <v>35</v>
      </c>
      <c r="K9" s="30">
        <v>0</v>
      </c>
      <c r="L9" s="6" t="str">
        <f t="shared" ref="L9:L54" si="0">TEXT(I9,"00")&amp;":"&amp;TEXT(J9,"00")&amp;","&amp;TEXT(K9,"00")</f>
        <v>00:35,00</v>
      </c>
    </row>
    <row r="10" spans="1:12" x14ac:dyDescent="0.25">
      <c r="A10" s="6" t="s">
        <v>50</v>
      </c>
      <c r="B10" s="6" t="s">
        <v>48</v>
      </c>
      <c r="C10" s="62" t="s">
        <v>76</v>
      </c>
      <c r="D10" s="37">
        <v>19132515</v>
      </c>
      <c r="E10" s="22">
        <v>34939</v>
      </c>
      <c r="F10" s="30">
        <f t="shared" ref="F10" si="1">DATEDIF(E10,DATE(2026,12,31),"Y")</f>
        <v>31</v>
      </c>
      <c r="G10" s="6" t="str">
        <f>+VLOOKUP(F10,Validación!C:D,2,FALSE)</f>
        <v>C</v>
      </c>
      <c r="H10" s="6" t="s">
        <v>23</v>
      </c>
      <c r="I10" s="30">
        <v>0</v>
      </c>
      <c r="J10" s="30">
        <v>31</v>
      </c>
      <c r="K10" s="30">
        <v>0</v>
      </c>
      <c r="L10" s="6" t="s">
        <v>75</v>
      </c>
    </row>
    <row r="11" spans="1:12" x14ac:dyDescent="0.25">
      <c r="A11" s="6" t="s">
        <v>50</v>
      </c>
      <c r="B11" s="6" t="s">
        <v>48</v>
      </c>
      <c r="C11" s="40" t="s">
        <v>70</v>
      </c>
      <c r="D11" s="42">
        <v>96291154</v>
      </c>
      <c r="E11" s="22">
        <v>38385</v>
      </c>
      <c r="F11" s="30">
        <f t="shared" ref="F11" si="2">DATEDIF(E11,DATE(2026,12,31),"Y")</f>
        <v>21</v>
      </c>
      <c r="G11" s="6" t="s">
        <v>16</v>
      </c>
      <c r="H11" s="6" t="s">
        <v>23</v>
      </c>
      <c r="I11" s="30">
        <v>0</v>
      </c>
      <c r="J11" s="30">
        <v>38</v>
      </c>
      <c r="K11" s="30">
        <v>0</v>
      </c>
      <c r="L11" s="6" t="str">
        <f t="shared" si="0"/>
        <v>00:38,00</v>
      </c>
    </row>
    <row r="12" spans="1:12" x14ac:dyDescent="0.25">
      <c r="A12" s="6" t="s">
        <v>50</v>
      </c>
      <c r="B12" s="6" t="s">
        <v>48</v>
      </c>
      <c r="C12" s="41" t="s">
        <v>52</v>
      </c>
      <c r="D12" s="42">
        <v>37767077</v>
      </c>
      <c r="E12" s="22">
        <v>34279</v>
      </c>
      <c r="F12" s="30">
        <f t="shared" ref="F12:F86" si="3">DATEDIF(E12,DATE(2026,12,31),"Y")</f>
        <v>33</v>
      </c>
      <c r="G12" s="6" t="str">
        <f>+VLOOKUP(F12,Validación!C:D,2,FALSE)</f>
        <v>C</v>
      </c>
      <c r="H12" s="6" t="s">
        <v>23</v>
      </c>
      <c r="I12" s="30">
        <v>0</v>
      </c>
      <c r="J12" s="30">
        <v>37</v>
      </c>
      <c r="K12" s="30">
        <v>40</v>
      </c>
      <c r="L12" s="6" t="str">
        <f t="shared" si="0"/>
        <v>00:37,40</v>
      </c>
    </row>
    <row r="13" spans="1:12" x14ac:dyDescent="0.25">
      <c r="A13" s="6" t="s">
        <v>50</v>
      </c>
      <c r="B13" s="6" t="s">
        <v>48</v>
      </c>
      <c r="C13" s="41" t="s">
        <v>53</v>
      </c>
      <c r="D13" s="42">
        <v>38132162</v>
      </c>
      <c r="E13" s="22">
        <v>34433</v>
      </c>
      <c r="F13" s="30">
        <f t="shared" si="3"/>
        <v>32</v>
      </c>
      <c r="G13" s="6" t="str">
        <f>+VLOOKUP(F13,Validación!C:D,2,FALSE)</f>
        <v>C</v>
      </c>
      <c r="H13" s="6" t="s">
        <v>23</v>
      </c>
      <c r="I13" s="30">
        <v>0</v>
      </c>
      <c r="J13" s="30">
        <v>42</v>
      </c>
      <c r="K13" s="30">
        <v>0</v>
      </c>
      <c r="L13" s="6" t="str">
        <f t="shared" si="0"/>
        <v>00:42,00</v>
      </c>
    </row>
    <row r="14" spans="1:12" x14ac:dyDescent="0.25">
      <c r="A14" s="6" t="s">
        <v>50</v>
      </c>
      <c r="B14" s="6" t="s">
        <v>48</v>
      </c>
      <c r="C14" s="41" t="s">
        <v>74</v>
      </c>
      <c r="D14" s="42">
        <v>95686614</v>
      </c>
      <c r="E14" s="22">
        <v>34891</v>
      </c>
      <c r="F14" s="30">
        <v>31</v>
      </c>
      <c r="G14" s="6" t="s">
        <v>18</v>
      </c>
      <c r="H14" s="6" t="s">
        <v>23</v>
      </c>
      <c r="I14" s="30">
        <v>0</v>
      </c>
      <c r="J14" s="30">
        <v>33</v>
      </c>
      <c r="K14" s="30">
        <v>11</v>
      </c>
      <c r="L14" s="6" t="str">
        <f t="shared" si="0"/>
        <v>00:33,11</v>
      </c>
    </row>
    <row r="15" spans="1:12" x14ac:dyDescent="0.25">
      <c r="A15" s="6" t="s">
        <v>50</v>
      </c>
      <c r="B15" s="6" t="s">
        <v>48</v>
      </c>
      <c r="C15" s="41" t="s">
        <v>62</v>
      </c>
      <c r="D15" s="42">
        <v>44917765</v>
      </c>
      <c r="E15" s="22">
        <v>37795</v>
      </c>
      <c r="F15" s="30">
        <f t="shared" si="3"/>
        <v>23</v>
      </c>
      <c r="G15" s="6" t="str">
        <f>+VLOOKUP(F15,Validación!C:D,2,FALSE)</f>
        <v>A</v>
      </c>
      <c r="H15" s="6" t="s">
        <v>23</v>
      </c>
      <c r="I15" s="30">
        <v>0</v>
      </c>
      <c r="J15" s="30">
        <v>37</v>
      </c>
      <c r="K15" s="30">
        <v>0</v>
      </c>
      <c r="L15" s="6" t="str">
        <f t="shared" si="0"/>
        <v>00:37,00</v>
      </c>
    </row>
    <row r="16" spans="1:12" x14ac:dyDescent="0.25">
      <c r="A16" s="6" t="s">
        <v>50</v>
      </c>
      <c r="B16" s="6" t="s">
        <v>48</v>
      </c>
      <c r="C16" s="41" t="s">
        <v>55</v>
      </c>
      <c r="D16" s="39">
        <v>34934235</v>
      </c>
      <c r="E16" s="22">
        <v>32919</v>
      </c>
      <c r="F16" s="30">
        <f t="shared" si="3"/>
        <v>36</v>
      </c>
      <c r="G16" s="6" t="str">
        <f>+VLOOKUP(F16,Validación!C:D,2,FALSE)</f>
        <v>D</v>
      </c>
      <c r="H16" s="6" t="s">
        <v>23</v>
      </c>
      <c r="I16" s="30">
        <v>0</v>
      </c>
      <c r="J16" s="30">
        <v>33</v>
      </c>
      <c r="K16" s="30">
        <v>0</v>
      </c>
      <c r="L16" s="6" t="str">
        <f t="shared" si="0"/>
        <v>00:33,00</v>
      </c>
    </row>
    <row r="17" spans="1:12" x14ac:dyDescent="0.25">
      <c r="A17" s="6" t="s">
        <v>50</v>
      </c>
      <c r="B17" s="6" t="s">
        <v>48</v>
      </c>
      <c r="C17" s="41" t="s">
        <v>63</v>
      </c>
      <c r="D17" s="39">
        <v>40362905</v>
      </c>
      <c r="E17" s="22">
        <v>32930</v>
      </c>
      <c r="F17" s="30">
        <f t="shared" si="3"/>
        <v>36</v>
      </c>
      <c r="G17" s="6" t="str">
        <f>+VLOOKUP(F17,Validación!C:D,2,FALSE)</f>
        <v>D</v>
      </c>
      <c r="H17" s="6" t="s">
        <v>23</v>
      </c>
      <c r="I17" s="30">
        <v>0</v>
      </c>
      <c r="J17" s="30">
        <v>32</v>
      </c>
      <c r="K17" s="30">
        <v>6</v>
      </c>
      <c r="L17" s="6" t="str">
        <f t="shared" si="0"/>
        <v>00:32,06</v>
      </c>
    </row>
    <row r="18" spans="1:12" x14ac:dyDescent="0.25">
      <c r="A18" s="6" t="s">
        <v>50</v>
      </c>
      <c r="B18" s="6" t="s">
        <v>48</v>
      </c>
      <c r="C18" s="41" t="s">
        <v>56</v>
      </c>
      <c r="D18" s="39">
        <v>30861672</v>
      </c>
      <c r="E18" s="22">
        <v>30701</v>
      </c>
      <c r="F18" s="30">
        <f t="shared" si="3"/>
        <v>42</v>
      </c>
      <c r="G18" s="6" t="str">
        <f>+VLOOKUP(F18,Validación!C:D,2,FALSE)</f>
        <v>E</v>
      </c>
      <c r="H18" s="6" t="s">
        <v>23</v>
      </c>
      <c r="I18" s="30">
        <v>0</v>
      </c>
      <c r="J18" s="30">
        <v>38</v>
      </c>
      <c r="K18" s="30">
        <v>3</v>
      </c>
      <c r="L18" s="6" t="str">
        <f t="shared" si="0"/>
        <v>00:38,03</v>
      </c>
    </row>
    <row r="19" spans="1:12" x14ac:dyDescent="0.25">
      <c r="A19" s="6" t="s">
        <v>50</v>
      </c>
      <c r="B19" s="6" t="s">
        <v>48</v>
      </c>
      <c r="C19" s="41" t="s">
        <v>57</v>
      </c>
      <c r="D19" s="42">
        <v>32251124</v>
      </c>
      <c r="E19" s="22">
        <v>31849</v>
      </c>
      <c r="F19" s="30">
        <f t="shared" si="3"/>
        <v>39</v>
      </c>
      <c r="G19" s="6" t="str">
        <f>+VLOOKUP(F19,Validación!C:D,2,FALSE)</f>
        <v>D</v>
      </c>
      <c r="H19" s="6" t="s">
        <v>23</v>
      </c>
      <c r="I19" s="30">
        <v>0</v>
      </c>
      <c r="J19" s="30">
        <v>32</v>
      </c>
      <c r="K19" s="30">
        <v>8</v>
      </c>
      <c r="L19" s="6" t="str">
        <f t="shared" si="0"/>
        <v>00:32,08</v>
      </c>
    </row>
    <row r="20" spans="1:12" x14ac:dyDescent="0.25">
      <c r="A20" s="6" t="s">
        <v>50</v>
      </c>
      <c r="B20" s="6" t="s">
        <v>48</v>
      </c>
      <c r="C20" s="41" t="s">
        <v>58</v>
      </c>
      <c r="D20" s="42">
        <v>36005142</v>
      </c>
      <c r="E20" s="22">
        <v>33635</v>
      </c>
      <c r="F20" s="30">
        <f t="shared" si="3"/>
        <v>34</v>
      </c>
      <c r="G20" s="6" t="str">
        <f>+VLOOKUP(F20,Validación!C:D,2,FALSE)</f>
        <v>C</v>
      </c>
      <c r="H20" s="6" t="s">
        <v>23</v>
      </c>
      <c r="I20" s="30">
        <v>0</v>
      </c>
      <c r="J20" s="30">
        <v>36</v>
      </c>
      <c r="K20" s="30">
        <v>3</v>
      </c>
      <c r="L20" s="6" t="str">
        <f t="shared" si="0"/>
        <v>00:36,03</v>
      </c>
    </row>
    <row r="21" spans="1:12" x14ac:dyDescent="0.25">
      <c r="A21" s="6" t="s">
        <v>50</v>
      </c>
      <c r="B21" s="6" t="s">
        <v>48</v>
      </c>
      <c r="C21" s="41" t="s">
        <v>59</v>
      </c>
      <c r="D21" s="42">
        <v>34937080</v>
      </c>
      <c r="E21" s="22">
        <v>32848</v>
      </c>
      <c r="F21" s="30">
        <f t="shared" si="3"/>
        <v>37</v>
      </c>
      <c r="G21" s="6" t="str">
        <f>+VLOOKUP(F21,Validación!C:D,2,FALSE)</f>
        <v>D</v>
      </c>
      <c r="H21" s="6" t="s">
        <v>23</v>
      </c>
      <c r="I21" s="30">
        <v>0</v>
      </c>
      <c r="J21" s="30">
        <v>32</v>
      </c>
      <c r="K21" s="30">
        <v>8</v>
      </c>
      <c r="L21" s="6" t="str">
        <f t="shared" si="0"/>
        <v>00:32,08</v>
      </c>
    </row>
    <row r="22" spans="1:12" x14ac:dyDescent="0.25">
      <c r="A22" s="6" t="s">
        <v>50</v>
      </c>
      <c r="B22" s="6" t="s">
        <v>48</v>
      </c>
      <c r="C22" s="41" t="s">
        <v>60</v>
      </c>
      <c r="D22" s="42">
        <v>40969916</v>
      </c>
      <c r="E22" s="22">
        <v>35872</v>
      </c>
      <c r="F22" s="30">
        <f t="shared" si="3"/>
        <v>28</v>
      </c>
      <c r="G22" s="6" t="str">
        <f>+VLOOKUP(F22,Validación!C:D,2,FALSE)</f>
        <v>B</v>
      </c>
      <c r="H22" s="6" t="s">
        <v>23</v>
      </c>
      <c r="I22" s="30">
        <v>0</v>
      </c>
      <c r="J22" s="30">
        <v>49</v>
      </c>
      <c r="K22" s="30">
        <v>7</v>
      </c>
      <c r="L22" s="6" t="str">
        <f t="shared" si="0"/>
        <v>00:49,07</v>
      </c>
    </row>
    <row r="23" spans="1:12" x14ac:dyDescent="0.25">
      <c r="A23" s="6" t="s">
        <v>50</v>
      </c>
      <c r="B23" s="6" t="s">
        <v>48</v>
      </c>
      <c r="C23" s="41" t="s">
        <v>68</v>
      </c>
      <c r="D23" s="42">
        <v>30476072</v>
      </c>
      <c r="E23" s="22">
        <v>30676</v>
      </c>
      <c r="F23" s="30">
        <f t="shared" si="3"/>
        <v>43</v>
      </c>
      <c r="G23" s="6" t="s">
        <v>20</v>
      </c>
      <c r="H23" s="6" t="s">
        <v>23</v>
      </c>
      <c r="I23" s="30">
        <v>0</v>
      </c>
      <c r="J23" s="30">
        <v>43</v>
      </c>
      <c r="K23" s="30">
        <v>0</v>
      </c>
      <c r="L23" s="6" t="str">
        <f t="shared" si="0"/>
        <v>00:43,00</v>
      </c>
    </row>
    <row r="24" spans="1:12" x14ac:dyDescent="0.25">
      <c r="A24" s="6" t="s">
        <v>50</v>
      </c>
      <c r="B24" s="6" t="s">
        <v>48</v>
      </c>
      <c r="C24" s="41" t="s">
        <v>61</v>
      </c>
      <c r="D24" s="42">
        <v>36238855</v>
      </c>
      <c r="E24" s="22">
        <v>33457</v>
      </c>
      <c r="F24" s="30">
        <f t="shared" si="3"/>
        <v>35</v>
      </c>
      <c r="G24" s="6" t="str">
        <f>+VLOOKUP(F24,Validación!C:D,2,FALSE)</f>
        <v>D</v>
      </c>
      <c r="H24" s="6" t="s">
        <v>23</v>
      </c>
      <c r="I24" s="30">
        <v>0</v>
      </c>
      <c r="J24" s="30">
        <v>34</v>
      </c>
      <c r="K24" s="30">
        <v>4</v>
      </c>
      <c r="L24" s="6" t="str">
        <f t="shared" si="0"/>
        <v>00:34,04</v>
      </c>
    </row>
    <row r="25" spans="1:12" x14ac:dyDescent="0.25">
      <c r="A25" s="6" t="s">
        <v>50</v>
      </c>
      <c r="B25" s="6" t="s">
        <v>49</v>
      </c>
      <c r="C25" s="41" t="s">
        <v>68</v>
      </c>
      <c r="D25" s="42">
        <v>30476072</v>
      </c>
      <c r="E25" s="22">
        <v>30676</v>
      </c>
      <c r="F25" s="30">
        <v>43</v>
      </c>
      <c r="G25" s="6" t="s">
        <v>20</v>
      </c>
      <c r="H25" s="6" t="s">
        <v>23</v>
      </c>
      <c r="I25" s="30">
        <v>0</v>
      </c>
      <c r="J25" s="30">
        <v>58</v>
      </c>
      <c r="K25" s="30">
        <v>0</v>
      </c>
      <c r="L25" s="6" t="str">
        <f t="shared" si="0"/>
        <v>00:58,00</v>
      </c>
    </row>
    <row r="26" spans="1:12" x14ac:dyDescent="0.25">
      <c r="A26" s="6" t="s">
        <v>50</v>
      </c>
      <c r="B26" s="6" t="s">
        <v>49</v>
      </c>
      <c r="C26" s="41" t="s">
        <v>73</v>
      </c>
      <c r="D26" s="37">
        <v>28829308</v>
      </c>
      <c r="E26" s="22">
        <v>29755</v>
      </c>
      <c r="F26" s="30">
        <v>45</v>
      </c>
      <c r="G26" s="6" t="s">
        <v>21</v>
      </c>
      <c r="H26" s="6" t="s">
        <v>23</v>
      </c>
      <c r="I26" s="30">
        <v>0</v>
      </c>
      <c r="J26" s="30">
        <v>46</v>
      </c>
      <c r="K26" s="30">
        <v>5</v>
      </c>
      <c r="L26" s="6" t="str">
        <f t="shared" si="0"/>
        <v>00:46,05</v>
      </c>
    </row>
    <row r="27" spans="1:12" x14ac:dyDescent="0.25">
      <c r="A27" s="6" t="s">
        <v>50</v>
      </c>
      <c r="B27" s="6" t="s">
        <v>49</v>
      </c>
      <c r="C27" s="41" t="s">
        <v>51</v>
      </c>
      <c r="D27" s="42">
        <v>31404363</v>
      </c>
      <c r="E27" s="22">
        <v>31141</v>
      </c>
      <c r="F27" s="30">
        <f t="shared" si="3"/>
        <v>41</v>
      </c>
      <c r="G27" s="6" t="str">
        <f>+VLOOKUP(F27,Validación!C:D,2,FALSE)</f>
        <v>E</v>
      </c>
      <c r="H27" s="6" t="s">
        <v>23</v>
      </c>
      <c r="I27" s="30">
        <v>0</v>
      </c>
      <c r="J27" s="30">
        <v>44</v>
      </c>
      <c r="K27" s="30">
        <v>5</v>
      </c>
      <c r="L27" s="6" t="str">
        <f t="shared" si="0"/>
        <v>00:44,05</v>
      </c>
    </row>
    <row r="28" spans="1:12" x14ac:dyDescent="0.25">
      <c r="A28" s="6" t="s">
        <v>50</v>
      </c>
      <c r="B28" s="6" t="s">
        <v>49</v>
      </c>
      <c r="C28" s="41" t="s">
        <v>71</v>
      </c>
      <c r="D28" s="42">
        <v>34118815</v>
      </c>
      <c r="E28" s="22">
        <v>32541</v>
      </c>
      <c r="F28" s="30">
        <f t="shared" si="3"/>
        <v>37</v>
      </c>
      <c r="G28" s="6" t="s">
        <v>19</v>
      </c>
      <c r="H28" s="6" t="s">
        <v>23</v>
      </c>
      <c r="I28" s="30">
        <v>0</v>
      </c>
      <c r="J28" s="30">
        <v>35</v>
      </c>
      <c r="K28" s="30">
        <v>0</v>
      </c>
      <c r="L28" s="6" t="str">
        <f t="shared" si="0"/>
        <v>00:35,00</v>
      </c>
    </row>
    <row r="29" spans="1:12" x14ac:dyDescent="0.25">
      <c r="A29" s="6" t="s">
        <v>50</v>
      </c>
      <c r="B29" s="6" t="s">
        <v>49</v>
      </c>
      <c r="C29" s="41" t="s">
        <v>74</v>
      </c>
      <c r="D29" s="42">
        <v>95686614</v>
      </c>
      <c r="E29" s="22">
        <v>34891</v>
      </c>
      <c r="F29" s="30">
        <v>31</v>
      </c>
      <c r="G29" s="6" t="s">
        <v>18</v>
      </c>
      <c r="H29" s="6" t="s">
        <v>23</v>
      </c>
      <c r="I29" s="30">
        <v>0</v>
      </c>
      <c r="J29" s="30">
        <v>38</v>
      </c>
      <c r="K29" s="30">
        <v>1</v>
      </c>
      <c r="L29" s="6" t="str">
        <f t="shared" si="0"/>
        <v>00:38,01</v>
      </c>
    </row>
    <row r="30" spans="1:12" x14ac:dyDescent="0.25">
      <c r="A30" s="6" t="s">
        <v>50</v>
      </c>
      <c r="B30" s="6" t="s">
        <v>49</v>
      </c>
      <c r="C30" s="41" t="s">
        <v>62</v>
      </c>
      <c r="D30" s="42">
        <v>44917765</v>
      </c>
      <c r="E30" s="22">
        <v>37795</v>
      </c>
      <c r="F30" s="30">
        <f t="shared" si="3"/>
        <v>23</v>
      </c>
      <c r="G30" s="6" t="str">
        <f>+VLOOKUP(F30,Validación!C:D,2,FALSE)</f>
        <v>A</v>
      </c>
      <c r="H30" s="6" t="s">
        <v>23</v>
      </c>
      <c r="I30" s="30">
        <v>0</v>
      </c>
      <c r="J30" s="30">
        <v>47</v>
      </c>
      <c r="K30" s="30">
        <v>0</v>
      </c>
      <c r="L30" s="6" t="str">
        <f t="shared" si="0"/>
        <v>00:47,00</v>
      </c>
    </row>
    <row r="31" spans="1:12" x14ac:dyDescent="0.25">
      <c r="A31" s="6" t="s">
        <v>50</v>
      </c>
      <c r="B31" s="6" t="s">
        <v>49</v>
      </c>
      <c r="C31" s="41" t="s">
        <v>54</v>
      </c>
      <c r="D31" s="42">
        <v>43909982</v>
      </c>
      <c r="E31" s="22">
        <v>37323</v>
      </c>
      <c r="F31" s="30">
        <f t="shared" si="3"/>
        <v>24</v>
      </c>
      <c r="G31" s="6" t="str">
        <f>+VLOOKUP(F31,Validación!C:D,2,FALSE)</f>
        <v>A</v>
      </c>
      <c r="H31" s="6" t="s">
        <v>23</v>
      </c>
      <c r="I31" s="30">
        <v>0</v>
      </c>
      <c r="J31" s="30">
        <v>43</v>
      </c>
      <c r="K31" s="30">
        <v>70</v>
      </c>
      <c r="L31" s="6" t="str">
        <f t="shared" si="0"/>
        <v>00:43,70</v>
      </c>
    </row>
    <row r="32" spans="1:12" x14ac:dyDescent="0.25">
      <c r="A32" s="6" t="s">
        <v>50</v>
      </c>
      <c r="B32" s="6" t="s">
        <v>49</v>
      </c>
      <c r="C32" s="41" t="s">
        <v>56</v>
      </c>
      <c r="D32" s="39">
        <v>30861672</v>
      </c>
      <c r="E32" s="22">
        <v>30701</v>
      </c>
      <c r="F32" s="30">
        <f t="shared" si="3"/>
        <v>42</v>
      </c>
      <c r="G32" s="6" t="str">
        <f>+VLOOKUP(F32,Validación!C:D,2,FALSE)</f>
        <v>E</v>
      </c>
      <c r="H32" s="6" t="s">
        <v>23</v>
      </c>
      <c r="I32" s="30">
        <v>0</v>
      </c>
      <c r="J32" s="30">
        <v>50</v>
      </c>
      <c r="K32" s="30">
        <v>50</v>
      </c>
      <c r="L32" s="6" t="str">
        <f t="shared" si="0"/>
        <v>00:50,50</v>
      </c>
    </row>
    <row r="33" spans="1:18" x14ac:dyDescent="0.25">
      <c r="A33" s="6" t="s">
        <v>50</v>
      </c>
      <c r="B33" s="6" t="s">
        <v>49</v>
      </c>
      <c r="C33" s="41" t="s">
        <v>58</v>
      </c>
      <c r="D33" s="42">
        <v>36005142</v>
      </c>
      <c r="E33" s="22">
        <v>33635</v>
      </c>
      <c r="F33" s="30">
        <f t="shared" si="3"/>
        <v>34</v>
      </c>
      <c r="G33" s="6" t="str">
        <f>+VLOOKUP(F33,Validación!C:D,2,FALSE)</f>
        <v>C</v>
      </c>
      <c r="H33" s="6" t="s">
        <v>23</v>
      </c>
      <c r="I33" s="30">
        <v>0</v>
      </c>
      <c r="J33" s="30">
        <v>50</v>
      </c>
      <c r="K33" s="30">
        <v>0</v>
      </c>
      <c r="L33" s="6" t="str">
        <f t="shared" si="0"/>
        <v>00:50,00</v>
      </c>
    </row>
    <row r="34" spans="1:18" x14ac:dyDescent="0.25">
      <c r="A34" s="6" t="s">
        <v>50</v>
      </c>
      <c r="B34" s="6" t="s">
        <v>49</v>
      </c>
      <c r="C34" s="41" t="s">
        <v>59</v>
      </c>
      <c r="D34" s="42">
        <v>34937080</v>
      </c>
      <c r="E34" s="22">
        <v>32848</v>
      </c>
      <c r="F34" s="30">
        <f t="shared" si="3"/>
        <v>37</v>
      </c>
      <c r="G34" s="6" t="str">
        <f>+VLOOKUP(F34,Validación!C:D,2,FALSE)</f>
        <v>D</v>
      </c>
      <c r="H34" s="6" t="s">
        <v>23</v>
      </c>
      <c r="I34" s="30">
        <v>0</v>
      </c>
      <c r="J34" s="30">
        <v>45</v>
      </c>
      <c r="K34" s="30">
        <v>0</v>
      </c>
      <c r="L34" s="6" t="str">
        <f t="shared" si="0"/>
        <v>00:45,00</v>
      </c>
    </row>
    <row r="35" spans="1:18" x14ac:dyDescent="0.25">
      <c r="A35" s="6" t="s">
        <v>50</v>
      </c>
      <c r="B35" s="6" t="s">
        <v>49</v>
      </c>
      <c r="C35" s="41" t="s">
        <v>61</v>
      </c>
      <c r="D35" s="42">
        <v>36238855</v>
      </c>
      <c r="E35" s="22">
        <v>33457</v>
      </c>
      <c r="F35" s="30">
        <f t="shared" si="3"/>
        <v>35</v>
      </c>
      <c r="G35" s="6" t="str">
        <f>+VLOOKUP(F35,Validación!C:D,2,FALSE)</f>
        <v>D</v>
      </c>
      <c r="H35" s="6" t="s">
        <v>23</v>
      </c>
      <c r="I35" s="30">
        <v>0</v>
      </c>
      <c r="J35" s="30">
        <v>45</v>
      </c>
      <c r="K35" s="30">
        <v>20</v>
      </c>
      <c r="L35" s="6" t="str">
        <f t="shared" si="0"/>
        <v>00:45,20</v>
      </c>
    </row>
    <row r="36" spans="1:18" x14ac:dyDescent="0.25">
      <c r="A36" s="6" t="s">
        <v>50</v>
      </c>
      <c r="B36" s="6" t="s">
        <v>49</v>
      </c>
      <c r="C36" s="41" t="s">
        <v>64</v>
      </c>
      <c r="D36" s="42">
        <v>37579659</v>
      </c>
      <c r="E36" s="22">
        <v>34234</v>
      </c>
      <c r="F36" s="30">
        <f t="shared" si="3"/>
        <v>33</v>
      </c>
      <c r="G36" s="6" t="str">
        <f>+VLOOKUP(F36,Validación!C:D,2,FALSE)</f>
        <v>C</v>
      </c>
      <c r="H36" s="6" t="s">
        <v>23</v>
      </c>
      <c r="I36" s="30">
        <v>0</v>
      </c>
      <c r="J36" s="30">
        <v>50</v>
      </c>
      <c r="K36" s="30">
        <v>0</v>
      </c>
      <c r="L36" s="6" t="str">
        <f t="shared" si="0"/>
        <v>00:50,00</v>
      </c>
    </row>
    <row r="37" spans="1:18" x14ac:dyDescent="0.25">
      <c r="A37" s="6" t="s">
        <v>50</v>
      </c>
      <c r="B37" s="6" t="s">
        <v>49</v>
      </c>
      <c r="C37" s="41" t="s">
        <v>65</v>
      </c>
      <c r="D37" s="42">
        <v>29664205</v>
      </c>
      <c r="E37" s="22">
        <v>30175</v>
      </c>
      <c r="F37" s="30">
        <f t="shared" si="3"/>
        <v>44</v>
      </c>
      <c r="G37" s="6" t="str">
        <f>+VLOOKUP(F37,Validación!C:D,2,FALSE)</f>
        <v>E</v>
      </c>
      <c r="H37" s="6" t="s">
        <v>23</v>
      </c>
      <c r="I37" s="30">
        <v>0</v>
      </c>
      <c r="J37" s="30">
        <v>45</v>
      </c>
      <c r="K37" s="30">
        <v>0</v>
      </c>
      <c r="L37" s="6" t="str">
        <f t="shared" si="0"/>
        <v>00:45,00</v>
      </c>
    </row>
    <row r="38" spans="1:18" x14ac:dyDescent="0.25">
      <c r="A38" s="6" t="s">
        <v>50</v>
      </c>
      <c r="B38" s="6" t="s">
        <v>49</v>
      </c>
      <c r="C38" s="41" t="s">
        <v>66</v>
      </c>
      <c r="D38" s="42">
        <v>36658642</v>
      </c>
      <c r="E38" s="22">
        <v>33945</v>
      </c>
      <c r="F38" s="30">
        <f t="shared" si="3"/>
        <v>34</v>
      </c>
      <c r="G38" s="6" t="str">
        <f>+VLOOKUP(F38,Validación!C:D,2,FALSE)</f>
        <v>C</v>
      </c>
      <c r="H38" s="6" t="s">
        <v>23</v>
      </c>
      <c r="I38" s="30">
        <v>0</v>
      </c>
      <c r="J38" s="30">
        <v>42</v>
      </c>
      <c r="K38" s="30">
        <v>20</v>
      </c>
      <c r="L38" s="6" t="str">
        <f t="shared" si="0"/>
        <v>00:42,20</v>
      </c>
    </row>
    <row r="39" spans="1:18" x14ac:dyDescent="0.25">
      <c r="A39" s="6" t="s">
        <v>50</v>
      </c>
      <c r="B39" s="6" t="s">
        <v>38</v>
      </c>
      <c r="C39" s="41" t="s">
        <v>53</v>
      </c>
      <c r="D39" s="42">
        <v>38132162</v>
      </c>
      <c r="E39" s="22">
        <v>34433</v>
      </c>
      <c r="F39" s="30">
        <f t="shared" si="3"/>
        <v>32</v>
      </c>
      <c r="G39" s="6" t="str">
        <f>+VLOOKUP(F39,Validación!C:D,2,FALSE)</f>
        <v>C</v>
      </c>
      <c r="H39" s="6" t="s">
        <v>23</v>
      </c>
      <c r="I39" s="30">
        <v>0</v>
      </c>
      <c r="J39" s="30">
        <v>57</v>
      </c>
      <c r="K39" s="30">
        <v>60</v>
      </c>
      <c r="L39" s="6" t="str">
        <f t="shared" si="0"/>
        <v>00:57,60</v>
      </c>
    </row>
    <row r="40" spans="1:18" x14ac:dyDescent="0.25">
      <c r="A40" s="6" t="s">
        <v>50</v>
      </c>
      <c r="B40" s="6" t="s">
        <v>38</v>
      </c>
      <c r="C40" s="41" t="s">
        <v>55</v>
      </c>
      <c r="D40" s="39">
        <v>34934235</v>
      </c>
      <c r="E40" s="22">
        <v>32919</v>
      </c>
      <c r="F40" s="30">
        <f t="shared" si="3"/>
        <v>36</v>
      </c>
      <c r="G40" s="6" t="str">
        <f>+VLOOKUP(F40,Validación!C:D,2,FALSE)</f>
        <v>D</v>
      </c>
      <c r="H40" s="6" t="s">
        <v>23</v>
      </c>
      <c r="I40" s="30">
        <v>0</v>
      </c>
      <c r="J40" s="30">
        <v>42</v>
      </c>
      <c r="K40" s="30">
        <v>10</v>
      </c>
      <c r="L40" s="6" t="str">
        <f t="shared" si="0"/>
        <v>00:42,10</v>
      </c>
    </row>
    <row r="41" spans="1:18" x14ac:dyDescent="0.25">
      <c r="A41" s="6" t="s">
        <v>50</v>
      </c>
      <c r="B41" s="6" t="s">
        <v>38</v>
      </c>
      <c r="C41" s="40" t="s">
        <v>70</v>
      </c>
      <c r="D41" s="42">
        <v>96291154</v>
      </c>
      <c r="E41" s="22">
        <v>38385</v>
      </c>
      <c r="F41" s="30">
        <f t="shared" si="3"/>
        <v>21</v>
      </c>
      <c r="G41" s="6" t="s">
        <v>16</v>
      </c>
      <c r="H41" s="6" t="s">
        <v>23</v>
      </c>
      <c r="I41" s="30">
        <v>0</v>
      </c>
      <c r="J41" s="30">
        <v>44</v>
      </c>
      <c r="K41" s="30">
        <v>40</v>
      </c>
      <c r="L41" s="6" t="str">
        <f t="shared" si="0"/>
        <v>00:44,40</v>
      </c>
    </row>
    <row r="42" spans="1:18" x14ac:dyDescent="0.25">
      <c r="A42" s="6" t="s">
        <v>50</v>
      </c>
      <c r="B42" s="6" t="s">
        <v>38</v>
      </c>
      <c r="C42" s="41" t="s">
        <v>68</v>
      </c>
      <c r="D42" s="42">
        <v>30476072</v>
      </c>
      <c r="E42" s="22">
        <v>30676</v>
      </c>
      <c r="F42" s="30">
        <v>43</v>
      </c>
      <c r="G42" s="6" t="s">
        <v>20</v>
      </c>
      <c r="H42" s="6" t="s">
        <v>23</v>
      </c>
      <c r="I42" s="30">
        <v>0</v>
      </c>
      <c r="J42" s="30">
        <v>49</v>
      </c>
      <c r="K42" s="30">
        <v>0</v>
      </c>
      <c r="L42" s="6" t="str">
        <f t="shared" si="0"/>
        <v>00:49,00</v>
      </c>
    </row>
    <row r="43" spans="1:18" x14ac:dyDescent="0.25">
      <c r="A43" s="6" t="s">
        <v>50</v>
      </c>
      <c r="B43" s="6" t="s">
        <v>38</v>
      </c>
      <c r="C43" s="41" t="s">
        <v>71</v>
      </c>
      <c r="D43" s="42">
        <v>34118815</v>
      </c>
      <c r="E43" s="22">
        <v>32541</v>
      </c>
      <c r="F43" s="30">
        <v>37</v>
      </c>
      <c r="G43" s="6" t="s">
        <v>19</v>
      </c>
      <c r="H43" s="6" t="s">
        <v>23</v>
      </c>
      <c r="I43" s="30">
        <v>0</v>
      </c>
      <c r="J43" s="30">
        <v>32</v>
      </c>
      <c r="K43" s="30">
        <v>0</v>
      </c>
      <c r="L43" s="6" t="str">
        <f t="shared" si="0"/>
        <v>00:32,00</v>
      </c>
      <c r="M43" s="40"/>
      <c r="N43" s="43"/>
      <c r="O43" s="44"/>
      <c r="P43" s="45"/>
      <c r="Q43" s="38"/>
      <c r="R43" s="38"/>
    </row>
    <row r="44" spans="1:18" x14ac:dyDescent="0.25">
      <c r="A44" s="6" t="s">
        <v>50</v>
      </c>
      <c r="B44" s="6" t="s">
        <v>38</v>
      </c>
      <c r="C44" s="41" t="s">
        <v>63</v>
      </c>
      <c r="D44" s="39">
        <v>40362905</v>
      </c>
      <c r="E44" s="22">
        <v>32930</v>
      </c>
      <c r="F44" s="30">
        <f t="shared" si="3"/>
        <v>36</v>
      </c>
      <c r="G44" s="6" t="str">
        <f>+VLOOKUP(F44,Validación!C:D,2,FALSE)</f>
        <v>D</v>
      </c>
      <c r="H44" s="6" t="s">
        <v>23</v>
      </c>
      <c r="I44" s="30">
        <v>0</v>
      </c>
      <c r="J44" s="30">
        <v>44</v>
      </c>
      <c r="K44" s="30">
        <v>40</v>
      </c>
      <c r="L44" s="6" t="str">
        <f t="shared" si="0"/>
        <v>00:44,40</v>
      </c>
    </row>
    <row r="45" spans="1:18" x14ac:dyDescent="0.25">
      <c r="A45" s="6" t="s">
        <v>50</v>
      </c>
      <c r="B45" s="6" t="s">
        <v>38</v>
      </c>
      <c r="C45" s="40" t="s">
        <v>69</v>
      </c>
      <c r="D45" s="42">
        <v>96233792</v>
      </c>
      <c r="E45" s="22">
        <v>33248</v>
      </c>
      <c r="F45" s="30">
        <f t="shared" si="3"/>
        <v>35</v>
      </c>
      <c r="G45" s="6" t="s">
        <v>19</v>
      </c>
      <c r="H45" s="6" t="s">
        <v>23</v>
      </c>
      <c r="I45" s="30">
        <v>0</v>
      </c>
      <c r="J45" s="30">
        <v>40</v>
      </c>
      <c r="K45" s="30">
        <v>60</v>
      </c>
      <c r="L45" s="6" t="str">
        <f t="shared" si="0"/>
        <v>00:40,60</v>
      </c>
    </row>
    <row r="46" spans="1:18" x14ac:dyDescent="0.25">
      <c r="A46" s="6" t="s">
        <v>50</v>
      </c>
      <c r="B46" s="6" t="s">
        <v>38</v>
      </c>
      <c r="C46" s="41" t="s">
        <v>65</v>
      </c>
      <c r="D46" s="42">
        <v>29664205</v>
      </c>
      <c r="E46" s="22">
        <v>30175</v>
      </c>
      <c r="F46" s="30">
        <f t="shared" si="3"/>
        <v>44</v>
      </c>
      <c r="G46" s="6" t="str">
        <f>+VLOOKUP(F46,Validación!C:D,2,FALSE)</f>
        <v>E</v>
      </c>
      <c r="H46" s="6" t="s">
        <v>23</v>
      </c>
      <c r="I46" s="30">
        <v>0</v>
      </c>
      <c r="J46" s="30">
        <v>42</v>
      </c>
      <c r="K46" s="30">
        <v>90</v>
      </c>
      <c r="L46" s="6" t="str">
        <f t="shared" si="0"/>
        <v>00:42,90</v>
      </c>
    </row>
    <row r="47" spans="1:18" x14ac:dyDescent="0.25">
      <c r="A47" s="6" t="s">
        <v>50</v>
      </c>
      <c r="B47" s="6" t="s">
        <v>38</v>
      </c>
      <c r="C47" s="41" t="s">
        <v>66</v>
      </c>
      <c r="D47" s="42">
        <v>36658642</v>
      </c>
      <c r="E47" s="22">
        <v>33945</v>
      </c>
      <c r="F47" s="30">
        <f t="shared" si="3"/>
        <v>34</v>
      </c>
      <c r="G47" s="6" t="str">
        <f>+VLOOKUP(F47,Validación!C:D,2,FALSE)</f>
        <v>C</v>
      </c>
      <c r="H47" s="6" t="s">
        <v>23</v>
      </c>
      <c r="I47" s="30">
        <v>0</v>
      </c>
      <c r="J47" s="30">
        <v>42</v>
      </c>
      <c r="K47" s="30">
        <v>70</v>
      </c>
      <c r="L47" s="6" t="str">
        <f t="shared" si="0"/>
        <v>00:42,70</v>
      </c>
    </row>
    <row r="48" spans="1:18" x14ac:dyDescent="0.25">
      <c r="A48" s="6" t="s">
        <v>50</v>
      </c>
      <c r="B48" s="6" t="s">
        <v>38</v>
      </c>
      <c r="C48" s="41" t="s">
        <v>60</v>
      </c>
      <c r="D48" s="42">
        <v>40969916</v>
      </c>
      <c r="E48" s="22">
        <v>35872</v>
      </c>
      <c r="F48" s="30">
        <f t="shared" si="3"/>
        <v>28</v>
      </c>
      <c r="G48" s="6" t="str">
        <f>+VLOOKUP(F48,Validación!C:D,2,FALSE)</f>
        <v>B</v>
      </c>
      <c r="H48" s="6" t="s">
        <v>23</v>
      </c>
      <c r="I48" s="30">
        <v>1</v>
      </c>
      <c r="J48" s="30">
        <v>4</v>
      </c>
      <c r="K48" s="30">
        <v>0</v>
      </c>
      <c r="L48" s="6" t="str">
        <f t="shared" si="0"/>
        <v>01:04,00</v>
      </c>
    </row>
    <row r="49" spans="1:12" x14ac:dyDescent="0.25">
      <c r="A49" s="6" t="s">
        <v>50</v>
      </c>
      <c r="B49" s="6" t="s">
        <v>41</v>
      </c>
      <c r="C49" s="41" t="s">
        <v>51</v>
      </c>
      <c r="D49" s="42">
        <v>31404363</v>
      </c>
      <c r="E49" s="22">
        <v>31141</v>
      </c>
      <c r="F49" s="30">
        <f t="shared" si="3"/>
        <v>41</v>
      </c>
      <c r="G49" s="6" t="str">
        <f>+VLOOKUP(F49,Validación!C:D,2,FALSE)</f>
        <v>E</v>
      </c>
      <c r="H49" s="6" t="s">
        <v>23</v>
      </c>
      <c r="I49" s="30">
        <v>1</v>
      </c>
      <c r="J49" s="30">
        <v>14</v>
      </c>
      <c r="K49" s="30">
        <v>0</v>
      </c>
      <c r="L49" s="6" t="str">
        <f t="shared" si="0"/>
        <v>01:14,00</v>
      </c>
    </row>
    <row r="50" spans="1:12" x14ac:dyDescent="0.25">
      <c r="A50" s="6" t="s">
        <v>50</v>
      </c>
      <c r="B50" s="6" t="s">
        <v>41</v>
      </c>
      <c r="C50" s="40" t="s">
        <v>69</v>
      </c>
      <c r="D50" s="42">
        <v>96233792</v>
      </c>
      <c r="E50" s="22">
        <v>33248</v>
      </c>
      <c r="F50" s="30">
        <v>35</v>
      </c>
      <c r="G50" s="6" t="s">
        <v>19</v>
      </c>
      <c r="H50" s="6" t="s">
        <v>23</v>
      </c>
      <c r="I50" s="30">
        <v>1</v>
      </c>
      <c r="J50" s="30">
        <v>12</v>
      </c>
      <c r="K50" s="30">
        <v>0</v>
      </c>
      <c r="L50" s="6" t="str">
        <f t="shared" si="0"/>
        <v>01:12,00</v>
      </c>
    </row>
    <row r="51" spans="1:12" x14ac:dyDescent="0.25">
      <c r="A51" s="6" t="s">
        <v>50</v>
      </c>
      <c r="B51" s="6" t="s">
        <v>41</v>
      </c>
      <c r="C51" s="41" t="s">
        <v>73</v>
      </c>
      <c r="D51" s="37">
        <v>28829308</v>
      </c>
      <c r="E51" s="22">
        <v>29755</v>
      </c>
      <c r="F51" s="30">
        <v>45</v>
      </c>
      <c r="G51" s="6" t="s">
        <v>21</v>
      </c>
      <c r="H51" s="6" t="s">
        <v>23</v>
      </c>
      <c r="I51" s="30">
        <v>1</v>
      </c>
      <c r="J51" s="30">
        <v>19</v>
      </c>
      <c r="K51" s="30">
        <v>0</v>
      </c>
      <c r="L51" s="6" t="str">
        <f t="shared" si="0"/>
        <v>01:19,00</v>
      </c>
    </row>
    <row r="52" spans="1:12" x14ac:dyDescent="0.25">
      <c r="A52" s="6" t="s">
        <v>50</v>
      </c>
      <c r="B52" s="6" t="s">
        <v>41</v>
      </c>
      <c r="C52" s="41" t="s">
        <v>54</v>
      </c>
      <c r="D52" s="42">
        <v>43909982</v>
      </c>
      <c r="E52" s="22">
        <v>37323</v>
      </c>
      <c r="F52" s="30">
        <f t="shared" si="3"/>
        <v>24</v>
      </c>
      <c r="G52" s="6" t="str">
        <f>+VLOOKUP(F52,Validación!C:D,2,FALSE)</f>
        <v>A</v>
      </c>
      <c r="H52" s="6" t="s">
        <v>23</v>
      </c>
      <c r="I52" s="30">
        <v>1</v>
      </c>
      <c r="J52" s="30">
        <v>27</v>
      </c>
      <c r="K52" s="30">
        <v>0</v>
      </c>
      <c r="L52" s="6" t="str">
        <f t="shared" si="0"/>
        <v>01:27,00</v>
      </c>
    </row>
    <row r="53" spans="1:12" x14ac:dyDescent="0.25">
      <c r="A53" s="6" t="s">
        <v>50</v>
      </c>
      <c r="B53" s="6" t="s">
        <v>41</v>
      </c>
      <c r="C53" s="41" t="s">
        <v>64</v>
      </c>
      <c r="D53" s="42">
        <v>37579659</v>
      </c>
      <c r="E53" s="22">
        <v>34234</v>
      </c>
      <c r="F53" s="30">
        <f t="shared" si="3"/>
        <v>33</v>
      </c>
      <c r="G53" s="6" t="str">
        <f>+VLOOKUP(F53,Validación!C:D,2,FALSE)</f>
        <v>C</v>
      </c>
      <c r="H53" s="6" t="s">
        <v>23</v>
      </c>
      <c r="I53" s="30">
        <v>1</v>
      </c>
      <c r="J53" s="30">
        <v>29</v>
      </c>
      <c r="K53" s="30">
        <v>0</v>
      </c>
      <c r="L53" s="6" t="str">
        <f t="shared" si="0"/>
        <v>01:29,00</v>
      </c>
    </row>
    <row r="54" spans="1:12" x14ac:dyDescent="0.25">
      <c r="A54" s="6" t="s">
        <v>50</v>
      </c>
      <c r="B54" s="6" t="s">
        <v>41</v>
      </c>
      <c r="C54" s="41" t="s">
        <v>57</v>
      </c>
      <c r="D54" s="42">
        <v>32251124</v>
      </c>
      <c r="E54" s="22">
        <v>31849</v>
      </c>
      <c r="F54" s="30">
        <f t="shared" si="3"/>
        <v>39</v>
      </c>
      <c r="G54" s="6" t="str">
        <f>+VLOOKUP(F54,Validación!C:D,2,FALSE)</f>
        <v>D</v>
      </c>
      <c r="H54" s="6" t="s">
        <v>23</v>
      </c>
      <c r="I54" s="30">
        <v>1</v>
      </c>
      <c r="J54" s="30">
        <v>16</v>
      </c>
      <c r="K54" s="30">
        <v>0</v>
      </c>
      <c r="L54" s="6" t="str">
        <f t="shared" si="0"/>
        <v>01:16,00</v>
      </c>
    </row>
    <row r="55" spans="1:12" x14ac:dyDescent="0.25">
      <c r="A55" s="6" t="s">
        <v>50</v>
      </c>
      <c r="B55" s="6" t="s">
        <v>41</v>
      </c>
      <c r="C55" s="41" t="s">
        <v>67</v>
      </c>
      <c r="D55" s="42">
        <v>45269460</v>
      </c>
      <c r="E55" s="22">
        <v>37863</v>
      </c>
      <c r="F55" s="30">
        <f t="shared" si="3"/>
        <v>23</v>
      </c>
      <c r="G55" s="6" t="str">
        <f>+VLOOKUP(F55,Validación!C:D,2,FALSE)</f>
        <v>A</v>
      </c>
      <c r="H55" s="6" t="s">
        <v>23</v>
      </c>
      <c r="I55" s="30">
        <v>1</v>
      </c>
      <c r="J55" s="30">
        <v>2</v>
      </c>
      <c r="K55" s="30">
        <v>0</v>
      </c>
      <c r="L55" s="6" t="str">
        <f t="shared" ref="L55:L86" si="4">TEXT(I55,"00")&amp;":"&amp;TEXT(J55,"00")&amp;","&amp;TEXT(K55,"00")</f>
        <v>01:02,00</v>
      </c>
    </row>
    <row r="56" spans="1:12" x14ac:dyDescent="0.25">
      <c r="A56" s="6" t="s">
        <v>50</v>
      </c>
      <c r="B56" s="6" t="s">
        <v>36</v>
      </c>
      <c r="C56" s="62" t="s">
        <v>76</v>
      </c>
      <c r="D56" s="37">
        <v>19132515</v>
      </c>
      <c r="E56" s="22">
        <v>34939</v>
      </c>
      <c r="F56" s="30">
        <f t="shared" ref="F56" si="5">DATEDIF(E56,DATE(2026,12,31),"Y")</f>
        <v>31</v>
      </c>
      <c r="G56" s="6" t="str">
        <f>+VLOOKUP(F56,Validación!C:D,2,FALSE)</f>
        <v>C</v>
      </c>
      <c r="H56" s="6" t="s">
        <v>23</v>
      </c>
      <c r="I56" s="30">
        <v>6</v>
      </c>
      <c r="J56" s="30">
        <v>0</v>
      </c>
      <c r="K56" s="30">
        <v>0</v>
      </c>
      <c r="L56" s="6" t="str">
        <f t="shared" si="4"/>
        <v>06:00,00</v>
      </c>
    </row>
    <row r="57" spans="1:12" x14ac:dyDescent="0.25">
      <c r="A57" s="6" t="s">
        <v>50</v>
      </c>
      <c r="B57" s="6" t="s">
        <v>36</v>
      </c>
      <c r="C57" s="41" t="s">
        <v>55</v>
      </c>
      <c r="D57" s="39">
        <v>34934235</v>
      </c>
      <c r="E57" s="22">
        <v>32919</v>
      </c>
      <c r="F57" s="30">
        <f t="shared" si="3"/>
        <v>36</v>
      </c>
      <c r="G57" s="6" t="str">
        <f>+VLOOKUP(F57,Validación!C:D,2,FALSE)</f>
        <v>D</v>
      </c>
      <c r="H57" s="6" t="s">
        <v>23</v>
      </c>
      <c r="I57" s="30">
        <v>6</v>
      </c>
      <c r="J57" s="30">
        <v>6</v>
      </c>
      <c r="K57" s="30">
        <v>0</v>
      </c>
      <c r="L57" s="6" t="str">
        <f t="shared" si="4"/>
        <v>06:06,00</v>
      </c>
    </row>
    <row r="58" spans="1:12" x14ac:dyDescent="0.25">
      <c r="A58" s="6" t="s">
        <v>50</v>
      </c>
      <c r="B58" s="6" t="s">
        <v>36</v>
      </c>
      <c r="C58" s="41" t="s">
        <v>65</v>
      </c>
      <c r="D58" s="42">
        <v>29664205</v>
      </c>
      <c r="E58" s="22">
        <v>30175</v>
      </c>
      <c r="F58" s="30">
        <f t="shared" si="3"/>
        <v>44</v>
      </c>
      <c r="G58" s="6" t="str">
        <f>+VLOOKUP(F58,Validación!C:D,2,FALSE)</f>
        <v>E</v>
      </c>
      <c r="H58" s="6" t="s">
        <v>23</v>
      </c>
      <c r="I58" s="30">
        <v>6</v>
      </c>
      <c r="J58" s="30">
        <v>41</v>
      </c>
      <c r="K58" s="30">
        <v>0</v>
      </c>
      <c r="L58" s="6" t="str">
        <f t="shared" si="4"/>
        <v>06:41,00</v>
      </c>
    </row>
    <row r="59" spans="1:12" x14ac:dyDescent="0.25">
      <c r="A59" s="6" t="s">
        <v>50</v>
      </c>
      <c r="B59" s="6" t="s">
        <v>36</v>
      </c>
      <c r="C59" s="41" t="s">
        <v>67</v>
      </c>
      <c r="D59" s="42">
        <v>45269460</v>
      </c>
      <c r="E59" s="22">
        <v>37863</v>
      </c>
      <c r="F59" s="30">
        <f t="shared" si="3"/>
        <v>23</v>
      </c>
      <c r="G59" s="6" t="str">
        <f>+VLOOKUP(F59,Validación!C:D,2,FALSE)</f>
        <v>A</v>
      </c>
      <c r="H59" s="6" t="s">
        <v>23</v>
      </c>
      <c r="I59" s="30">
        <v>5</v>
      </c>
      <c r="J59" s="30">
        <v>40</v>
      </c>
      <c r="K59" s="30">
        <v>0</v>
      </c>
      <c r="L59" s="6" t="str">
        <f t="shared" si="4"/>
        <v>05:40,00</v>
      </c>
    </row>
    <row r="60" spans="1:12" x14ac:dyDescent="0.25">
      <c r="A60" s="6" t="s">
        <v>50</v>
      </c>
      <c r="B60" s="6" t="s">
        <v>42</v>
      </c>
      <c r="C60" s="41" t="s">
        <v>63</v>
      </c>
      <c r="D60" s="39">
        <v>40362905</v>
      </c>
      <c r="E60" s="22">
        <v>32930</v>
      </c>
      <c r="F60" s="30">
        <f t="shared" si="3"/>
        <v>36</v>
      </c>
      <c r="G60" s="6" t="str">
        <f>+VLOOKUP(F60,Validación!C:D,2,FALSE)</f>
        <v>D</v>
      </c>
      <c r="H60" s="6" t="s">
        <v>23</v>
      </c>
      <c r="I60" s="30">
        <v>0</v>
      </c>
      <c r="J60" s="30">
        <v>40</v>
      </c>
      <c r="K60" s="30">
        <v>60</v>
      </c>
      <c r="L60" s="6" t="str">
        <f t="shared" si="4"/>
        <v>00:40,60</v>
      </c>
    </row>
    <row r="61" spans="1:12" x14ac:dyDescent="0.25">
      <c r="A61" s="6" t="s">
        <v>50</v>
      </c>
      <c r="B61" s="6" t="s">
        <v>42</v>
      </c>
      <c r="C61" s="41" t="s">
        <v>57</v>
      </c>
      <c r="D61" s="42">
        <v>32251124</v>
      </c>
      <c r="E61" s="22">
        <v>31849</v>
      </c>
      <c r="F61" s="30">
        <f t="shared" si="3"/>
        <v>39</v>
      </c>
      <c r="G61" s="6" t="str">
        <f>+VLOOKUP(F61,Validación!C:D,2,FALSE)</f>
        <v>D</v>
      </c>
      <c r="H61" s="6" t="s">
        <v>23</v>
      </c>
      <c r="I61" s="30">
        <v>0</v>
      </c>
      <c r="J61" s="30">
        <v>39</v>
      </c>
      <c r="K61" s="30">
        <v>40</v>
      </c>
      <c r="L61" s="6" t="str">
        <f t="shared" si="4"/>
        <v>00:39,40</v>
      </c>
    </row>
    <row r="62" spans="1:12" x14ac:dyDescent="0.25">
      <c r="A62" s="6" t="s">
        <v>50</v>
      </c>
      <c r="B62" s="6" t="s">
        <v>42</v>
      </c>
      <c r="C62" s="41" t="s">
        <v>67</v>
      </c>
      <c r="D62" s="42">
        <v>45269460</v>
      </c>
      <c r="E62" s="22">
        <v>37863</v>
      </c>
      <c r="F62" s="30">
        <f t="shared" si="3"/>
        <v>23</v>
      </c>
      <c r="G62" s="6" t="str">
        <f>+VLOOKUP(F62,Validación!C:D,2,FALSE)</f>
        <v>A</v>
      </c>
      <c r="H62" s="6" t="s">
        <v>23</v>
      </c>
      <c r="I62" s="30">
        <v>0</v>
      </c>
      <c r="J62" s="30">
        <v>29</v>
      </c>
      <c r="K62" s="30">
        <v>0</v>
      </c>
      <c r="L62" s="6" t="str">
        <f t="shared" si="4"/>
        <v>00:29,00</v>
      </c>
    </row>
    <row r="63" spans="1:12" x14ac:dyDescent="0.25">
      <c r="A63" s="6" t="s">
        <v>50</v>
      </c>
      <c r="B63" s="6" t="s">
        <v>42</v>
      </c>
      <c r="C63" s="41" t="s">
        <v>54</v>
      </c>
      <c r="D63" s="42">
        <v>43909982</v>
      </c>
      <c r="E63" s="22">
        <v>37323</v>
      </c>
      <c r="F63" s="30">
        <f t="shared" si="3"/>
        <v>24</v>
      </c>
      <c r="G63" s="6" t="str">
        <f>+VLOOKUP(F63,Validación!C:D,2,FALSE)</f>
        <v>A</v>
      </c>
      <c r="H63" s="6" t="s">
        <v>23</v>
      </c>
      <c r="I63" s="30">
        <v>0</v>
      </c>
      <c r="J63" s="30">
        <v>40</v>
      </c>
      <c r="K63" s="30">
        <v>0</v>
      </c>
      <c r="L63" s="6" t="str">
        <f t="shared" si="4"/>
        <v>00:40,00</v>
      </c>
    </row>
    <row r="64" spans="1:12" x14ac:dyDescent="0.25">
      <c r="A64" s="6" t="s">
        <v>50</v>
      </c>
      <c r="B64" s="6" t="s">
        <v>42</v>
      </c>
      <c r="C64" s="40" t="s">
        <v>69</v>
      </c>
      <c r="D64" s="42">
        <v>96233792</v>
      </c>
      <c r="E64" s="22">
        <v>33248</v>
      </c>
      <c r="F64" s="30">
        <f t="shared" si="3"/>
        <v>35</v>
      </c>
      <c r="G64" s="6" t="str">
        <f>+VLOOKUP(F64,Validación!C:D,2,FALSE)</f>
        <v>D</v>
      </c>
      <c r="H64" s="6" t="s">
        <v>23</v>
      </c>
      <c r="I64" s="30">
        <v>0</v>
      </c>
      <c r="J64" s="30">
        <v>37</v>
      </c>
      <c r="K64" s="30">
        <v>0</v>
      </c>
      <c r="L64" s="6" t="str">
        <f t="shared" si="4"/>
        <v>00:37,00</v>
      </c>
    </row>
    <row r="65" spans="1:12" x14ac:dyDescent="0.25">
      <c r="A65" s="6" t="s">
        <v>50</v>
      </c>
      <c r="B65" s="6" t="s">
        <v>42</v>
      </c>
      <c r="C65" s="41" t="s">
        <v>74</v>
      </c>
      <c r="D65" s="42">
        <v>95686614</v>
      </c>
      <c r="E65" s="22">
        <v>34891</v>
      </c>
      <c r="F65" s="30">
        <f t="shared" si="3"/>
        <v>31</v>
      </c>
      <c r="G65" s="6" t="str">
        <f>+VLOOKUP(F65,Validación!C:D,2,FALSE)</f>
        <v>C</v>
      </c>
      <c r="H65" s="6" t="s">
        <v>23</v>
      </c>
      <c r="I65" s="30">
        <v>0</v>
      </c>
      <c r="J65" s="30">
        <v>39</v>
      </c>
      <c r="K65" s="30">
        <v>6</v>
      </c>
      <c r="L65" s="6" t="str">
        <f t="shared" si="4"/>
        <v>00:39,06</v>
      </c>
    </row>
    <row r="66" spans="1:12" x14ac:dyDescent="0.25">
      <c r="A66" s="6" t="s">
        <v>50</v>
      </c>
      <c r="B66" s="6" t="s">
        <v>42</v>
      </c>
      <c r="C66" s="40" t="s">
        <v>70</v>
      </c>
      <c r="D66" s="42">
        <v>96291154</v>
      </c>
      <c r="E66" s="22">
        <v>38385</v>
      </c>
      <c r="F66" s="30">
        <f t="shared" si="3"/>
        <v>21</v>
      </c>
      <c r="G66" s="6" t="s">
        <v>16</v>
      </c>
      <c r="H66" s="6" t="s">
        <v>23</v>
      </c>
      <c r="I66" s="30">
        <v>0</v>
      </c>
      <c r="J66" s="30">
        <v>42</v>
      </c>
      <c r="K66" s="30">
        <v>0</v>
      </c>
      <c r="L66" s="6" t="str">
        <f t="shared" si="4"/>
        <v>00:42,00</v>
      </c>
    </row>
    <row r="67" spans="1:12" x14ac:dyDescent="0.25">
      <c r="A67" s="6" t="s">
        <v>50</v>
      </c>
      <c r="B67" s="6" t="s">
        <v>42</v>
      </c>
      <c r="C67" s="41" t="s">
        <v>71</v>
      </c>
      <c r="D67" s="39">
        <v>34118815</v>
      </c>
      <c r="E67" s="22">
        <v>32541</v>
      </c>
      <c r="F67" s="30">
        <f t="shared" si="3"/>
        <v>37</v>
      </c>
      <c r="G67" s="6" t="str">
        <f>+VLOOKUP(F67,Validación!C:D,2,FALSE)</f>
        <v>D</v>
      </c>
      <c r="H67" s="6" t="s">
        <v>23</v>
      </c>
      <c r="I67" s="30">
        <v>0</v>
      </c>
      <c r="J67" s="30">
        <v>29</v>
      </c>
      <c r="K67" s="30">
        <v>0</v>
      </c>
      <c r="L67" s="6" t="str">
        <f t="shared" si="4"/>
        <v>00:29,00</v>
      </c>
    </row>
    <row r="68" spans="1:12" x14ac:dyDescent="0.25">
      <c r="A68" s="6" t="s">
        <v>50</v>
      </c>
      <c r="B68" s="6" t="s">
        <v>40</v>
      </c>
      <c r="C68" s="6" t="s">
        <v>72</v>
      </c>
      <c r="D68" s="37">
        <v>96277991</v>
      </c>
      <c r="E68" s="22">
        <v>37260</v>
      </c>
      <c r="F68" s="30">
        <f t="shared" si="3"/>
        <v>24</v>
      </c>
      <c r="G68" s="6" t="str">
        <f>+VLOOKUP(F68,Validación!C:D,2,FALSE)</f>
        <v>A</v>
      </c>
      <c r="H68" s="6" t="s">
        <v>23</v>
      </c>
      <c r="I68" s="30">
        <v>0</v>
      </c>
      <c r="J68" s="30">
        <v>55</v>
      </c>
      <c r="K68" s="30">
        <v>0</v>
      </c>
      <c r="L68" s="6" t="str">
        <f t="shared" si="4"/>
        <v>00:55,00</v>
      </c>
    </row>
    <row r="69" spans="1:12" x14ac:dyDescent="0.25">
      <c r="A69" s="6" t="s">
        <v>50</v>
      </c>
      <c r="B69" s="6" t="s">
        <v>42</v>
      </c>
      <c r="C69" s="62" t="s">
        <v>76</v>
      </c>
      <c r="D69" s="37">
        <v>19132515</v>
      </c>
      <c r="E69" s="22">
        <v>34939</v>
      </c>
      <c r="F69" s="30">
        <f t="shared" si="3"/>
        <v>31</v>
      </c>
      <c r="G69" s="6" t="str">
        <f>+VLOOKUP(F69,Validación!C:D,2,FALSE)</f>
        <v>C</v>
      </c>
      <c r="H69" s="6" t="s">
        <v>23</v>
      </c>
      <c r="I69" s="30">
        <v>0</v>
      </c>
      <c r="J69" s="30">
        <v>31</v>
      </c>
      <c r="K69" s="30">
        <v>0</v>
      </c>
      <c r="L69" s="6" t="str">
        <f t="shared" si="4"/>
        <v>00:31,00</v>
      </c>
    </row>
    <row r="70" spans="1:12" x14ac:dyDescent="0.25">
      <c r="A70" s="6"/>
      <c r="B70" s="6"/>
      <c r="C70" s="6"/>
      <c r="D70" s="6"/>
      <c r="E70" s="22"/>
      <c r="F70" s="30">
        <f t="shared" si="3"/>
        <v>126</v>
      </c>
      <c r="G70" s="6" t="e">
        <f>+VLOOKUP(F70,Validación!C:D,2,FALSE)</f>
        <v>#N/A</v>
      </c>
      <c r="H70" s="6"/>
      <c r="I70" s="30"/>
      <c r="J70" s="30"/>
      <c r="K70" s="30"/>
      <c r="L70" s="6" t="str">
        <f t="shared" si="4"/>
        <v>00:00,00</v>
      </c>
    </row>
    <row r="71" spans="1:12" x14ac:dyDescent="0.25">
      <c r="A71" s="6"/>
      <c r="B71" s="6"/>
      <c r="C71" s="6"/>
      <c r="D71" s="6"/>
      <c r="E71" s="22"/>
      <c r="F71" s="30">
        <f t="shared" si="3"/>
        <v>126</v>
      </c>
      <c r="G71" s="6" t="e">
        <f>+VLOOKUP(F71,Validación!C:D,2,FALSE)</f>
        <v>#N/A</v>
      </c>
      <c r="H71" s="6"/>
      <c r="I71" s="30"/>
      <c r="J71" s="30"/>
      <c r="K71" s="30"/>
      <c r="L71" s="6" t="str">
        <f t="shared" si="4"/>
        <v>00:00,00</v>
      </c>
    </row>
    <row r="72" spans="1:12" x14ac:dyDescent="0.25">
      <c r="A72" s="6"/>
      <c r="B72" s="6"/>
      <c r="C72" s="6"/>
      <c r="D72" s="6"/>
      <c r="E72" s="22"/>
      <c r="F72" s="30">
        <f t="shared" si="3"/>
        <v>126</v>
      </c>
      <c r="G72" s="6" t="e">
        <f>+VLOOKUP(F72,Validación!C:D,2,FALSE)</f>
        <v>#N/A</v>
      </c>
      <c r="H72" s="6"/>
      <c r="I72" s="30"/>
      <c r="J72" s="30"/>
      <c r="K72" s="30"/>
      <c r="L72" s="6" t="str">
        <f t="shared" si="4"/>
        <v>00:00,00</v>
      </c>
    </row>
    <row r="73" spans="1:12" x14ac:dyDescent="0.25">
      <c r="A73" s="6"/>
      <c r="B73" s="6"/>
      <c r="C73" s="6"/>
      <c r="D73" s="6"/>
      <c r="E73" s="22"/>
      <c r="F73" s="30">
        <f t="shared" si="3"/>
        <v>126</v>
      </c>
      <c r="G73" s="6" t="e">
        <f>+VLOOKUP(F73,Validación!C:D,2,FALSE)</f>
        <v>#N/A</v>
      </c>
      <c r="H73" s="6"/>
      <c r="I73" s="30"/>
      <c r="J73" s="30"/>
      <c r="K73" s="30"/>
      <c r="L73" s="6" t="str">
        <f t="shared" si="4"/>
        <v>00:00,00</v>
      </c>
    </row>
    <row r="74" spans="1:12" x14ac:dyDescent="0.25">
      <c r="A74" s="6"/>
      <c r="B74" s="6"/>
      <c r="C74" s="6"/>
      <c r="D74" s="6"/>
      <c r="E74" s="22"/>
      <c r="F74" s="30">
        <f t="shared" si="3"/>
        <v>126</v>
      </c>
      <c r="G74" s="6" t="e">
        <f>+VLOOKUP(F74,Validación!C:D,2,FALSE)</f>
        <v>#N/A</v>
      </c>
      <c r="H74" s="6"/>
      <c r="I74" s="30"/>
      <c r="J74" s="30"/>
      <c r="K74" s="30"/>
      <c r="L74" s="6" t="str">
        <f t="shared" si="4"/>
        <v>00:00,00</v>
      </c>
    </row>
    <row r="75" spans="1:12" x14ac:dyDescent="0.25">
      <c r="A75" s="6"/>
      <c r="B75" s="6"/>
      <c r="C75" s="6"/>
      <c r="D75" s="6"/>
      <c r="E75" s="22"/>
      <c r="F75" s="30">
        <f t="shared" si="3"/>
        <v>126</v>
      </c>
      <c r="G75" s="6" t="e">
        <f>+VLOOKUP(F75,Validación!C:D,2,FALSE)</f>
        <v>#N/A</v>
      </c>
      <c r="H75" s="6"/>
      <c r="I75" s="30"/>
      <c r="J75" s="30"/>
      <c r="K75" s="30"/>
      <c r="L75" s="6" t="str">
        <f t="shared" si="4"/>
        <v>00:00,00</v>
      </c>
    </row>
    <row r="76" spans="1:12" x14ac:dyDescent="0.25">
      <c r="A76" s="6"/>
      <c r="B76" s="6"/>
      <c r="C76" s="6"/>
      <c r="D76" s="6"/>
      <c r="E76" s="22"/>
      <c r="F76" s="30">
        <f t="shared" si="3"/>
        <v>126</v>
      </c>
      <c r="G76" s="6" t="e">
        <f>+VLOOKUP(F76,Validación!C:D,2,FALSE)</f>
        <v>#N/A</v>
      </c>
      <c r="H76" s="6"/>
      <c r="I76" s="30"/>
      <c r="J76" s="30"/>
      <c r="K76" s="30"/>
      <c r="L76" s="6" t="str">
        <f t="shared" si="4"/>
        <v>00:00,00</v>
      </c>
    </row>
    <row r="77" spans="1:12" x14ac:dyDescent="0.25">
      <c r="A77" s="6"/>
      <c r="B77" s="6"/>
      <c r="C77" s="6"/>
      <c r="D77" s="6"/>
      <c r="E77" s="22"/>
      <c r="F77" s="30">
        <f t="shared" si="3"/>
        <v>126</v>
      </c>
      <c r="G77" s="6" t="e">
        <f>+VLOOKUP(F77,Validación!C:D,2,FALSE)</f>
        <v>#N/A</v>
      </c>
      <c r="H77" s="6"/>
      <c r="I77" s="30"/>
      <c r="J77" s="30"/>
      <c r="K77" s="30"/>
      <c r="L77" s="6" t="str">
        <f t="shared" si="4"/>
        <v>00:00,00</v>
      </c>
    </row>
    <row r="78" spans="1:12" x14ac:dyDescent="0.25">
      <c r="A78" s="6"/>
      <c r="B78" s="6"/>
      <c r="C78" s="6"/>
      <c r="D78" s="6"/>
      <c r="E78" s="22"/>
      <c r="F78" s="30">
        <f t="shared" si="3"/>
        <v>126</v>
      </c>
      <c r="G78" s="6" t="e">
        <f>+VLOOKUP(F78,Validación!C:D,2,FALSE)</f>
        <v>#N/A</v>
      </c>
      <c r="H78" s="6"/>
      <c r="I78" s="30"/>
      <c r="J78" s="30"/>
      <c r="K78" s="30"/>
      <c r="L78" s="6" t="str">
        <f t="shared" si="4"/>
        <v>00:00,00</v>
      </c>
    </row>
    <row r="79" spans="1:12" x14ac:dyDescent="0.25">
      <c r="A79" s="6"/>
      <c r="B79" s="6"/>
      <c r="C79" s="6"/>
      <c r="D79" s="6"/>
      <c r="E79" s="22"/>
      <c r="F79" s="30">
        <f t="shared" si="3"/>
        <v>126</v>
      </c>
      <c r="G79" s="6" t="e">
        <f>+VLOOKUP(F79,Validación!C:D,2,FALSE)</f>
        <v>#N/A</v>
      </c>
      <c r="H79" s="6"/>
      <c r="I79" s="30"/>
      <c r="J79" s="30"/>
      <c r="K79" s="30"/>
      <c r="L79" s="6" t="str">
        <f t="shared" si="4"/>
        <v>00:00,00</v>
      </c>
    </row>
    <row r="80" spans="1:12" x14ac:dyDescent="0.25">
      <c r="A80" s="6"/>
      <c r="B80" s="6"/>
      <c r="C80" s="6"/>
      <c r="D80" s="6"/>
      <c r="E80" s="22"/>
      <c r="F80" s="30">
        <f t="shared" si="3"/>
        <v>126</v>
      </c>
      <c r="G80" s="6" t="e">
        <f>+VLOOKUP(F80,Validación!C:D,2,FALSE)</f>
        <v>#N/A</v>
      </c>
      <c r="H80" s="6"/>
      <c r="I80" s="30"/>
      <c r="J80" s="30"/>
      <c r="K80" s="30"/>
      <c r="L80" s="6" t="str">
        <f t="shared" si="4"/>
        <v>00:00,00</v>
      </c>
    </row>
    <row r="81" spans="1:12" x14ac:dyDescent="0.25">
      <c r="A81" s="6"/>
      <c r="B81" s="6"/>
      <c r="C81" s="6"/>
      <c r="D81" s="6"/>
      <c r="E81" s="22"/>
      <c r="F81" s="30">
        <f t="shared" si="3"/>
        <v>126</v>
      </c>
      <c r="G81" s="6" t="e">
        <f>+VLOOKUP(F81,Validación!C:D,2,FALSE)</f>
        <v>#N/A</v>
      </c>
      <c r="H81" s="6"/>
      <c r="I81" s="30"/>
      <c r="J81" s="30"/>
      <c r="K81" s="30"/>
      <c r="L81" s="6" t="str">
        <f t="shared" si="4"/>
        <v>00:00,00</v>
      </c>
    </row>
    <row r="82" spans="1:12" x14ac:dyDescent="0.25">
      <c r="A82" s="6"/>
      <c r="B82" s="6"/>
      <c r="C82" s="6"/>
      <c r="D82" s="6"/>
      <c r="E82" s="22"/>
      <c r="F82" s="30">
        <f t="shared" si="3"/>
        <v>126</v>
      </c>
      <c r="G82" s="6" t="e">
        <f>+VLOOKUP(F82,Validación!C:D,2,FALSE)</f>
        <v>#N/A</v>
      </c>
      <c r="H82" s="6"/>
      <c r="I82" s="30"/>
      <c r="J82" s="30"/>
      <c r="K82" s="30"/>
      <c r="L82" s="6" t="str">
        <f t="shared" si="4"/>
        <v>00:00,00</v>
      </c>
    </row>
    <row r="83" spans="1:12" x14ac:dyDescent="0.25">
      <c r="A83" s="6"/>
      <c r="B83" s="6"/>
      <c r="C83" s="6"/>
      <c r="D83" s="6"/>
      <c r="E83" s="22"/>
      <c r="F83" s="30">
        <f t="shared" si="3"/>
        <v>126</v>
      </c>
      <c r="G83" s="6" t="e">
        <f>+VLOOKUP(F83,Validación!C:D,2,FALSE)</f>
        <v>#N/A</v>
      </c>
      <c r="H83" s="6"/>
      <c r="I83" s="30"/>
      <c r="J83" s="30"/>
      <c r="K83" s="30"/>
      <c r="L83" s="6" t="str">
        <f t="shared" si="4"/>
        <v>00:00,00</v>
      </c>
    </row>
    <row r="84" spans="1:12" x14ac:dyDescent="0.25">
      <c r="A84" s="6"/>
      <c r="B84" s="6"/>
      <c r="C84" s="6"/>
      <c r="D84" s="6"/>
      <c r="E84" s="22"/>
      <c r="F84" s="30">
        <f t="shared" si="3"/>
        <v>126</v>
      </c>
      <c r="G84" s="6" t="e">
        <f>+VLOOKUP(F84,Validación!C:D,2,FALSE)</f>
        <v>#N/A</v>
      </c>
      <c r="H84" s="6"/>
      <c r="I84" s="30"/>
      <c r="J84" s="30"/>
      <c r="K84" s="30"/>
      <c r="L84" s="6" t="str">
        <f t="shared" si="4"/>
        <v>00:00,00</v>
      </c>
    </row>
    <row r="85" spans="1:12" x14ac:dyDescent="0.25">
      <c r="A85" s="6"/>
      <c r="B85" s="6"/>
      <c r="C85" s="6"/>
      <c r="D85" s="6"/>
      <c r="E85" s="22"/>
      <c r="F85" s="30">
        <f t="shared" si="3"/>
        <v>126</v>
      </c>
      <c r="G85" s="6" t="e">
        <f>+VLOOKUP(F85,Validación!C:D,2,FALSE)</f>
        <v>#N/A</v>
      </c>
      <c r="H85" s="6"/>
      <c r="I85" s="30"/>
      <c r="J85" s="30"/>
      <c r="K85" s="30"/>
      <c r="L85" s="6" t="str">
        <f t="shared" si="4"/>
        <v>00:00,00</v>
      </c>
    </row>
    <row r="86" spans="1:12" x14ac:dyDescent="0.25">
      <c r="A86" s="6"/>
      <c r="B86" s="6"/>
      <c r="C86" s="6"/>
      <c r="D86" s="6"/>
      <c r="E86" s="22"/>
      <c r="F86" s="30">
        <f t="shared" si="3"/>
        <v>126</v>
      </c>
      <c r="G86" s="6" t="e">
        <f>+VLOOKUP(F86,Validación!C:D,2,FALSE)</f>
        <v>#N/A</v>
      </c>
      <c r="H86" s="6"/>
      <c r="I86" s="30"/>
      <c r="J86" s="30"/>
      <c r="K86" s="30"/>
      <c r="L86" s="6" t="str">
        <f t="shared" si="4"/>
        <v>00:00,00</v>
      </c>
    </row>
    <row r="87" spans="1:12" x14ac:dyDescent="0.25">
      <c r="A87" s="6"/>
      <c r="B87" s="6"/>
      <c r="C87" s="6"/>
      <c r="D87" s="6"/>
      <c r="E87" s="22"/>
      <c r="F87" s="30">
        <f t="shared" ref="F87:F114" si="6">DATEDIF(E87,DATE(2026,12,31),"Y")</f>
        <v>126</v>
      </c>
      <c r="G87" s="6" t="e">
        <f>+VLOOKUP(F87,Validación!C:D,2,FALSE)</f>
        <v>#N/A</v>
      </c>
      <c r="H87" s="6"/>
      <c r="I87" s="30"/>
      <c r="J87" s="30"/>
      <c r="K87" s="30"/>
      <c r="L87" s="6" t="str">
        <f t="shared" ref="L87:L114" si="7">TEXT(I87,"00")&amp;":"&amp;TEXT(J87,"00")&amp;","&amp;TEXT(K87,"00")</f>
        <v>00:00,00</v>
      </c>
    </row>
    <row r="88" spans="1:12" x14ac:dyDescent="0.25">
      <c r="A88" s="6"/>
      <c r="B88" s="6"/>
      <c r="C88" s="6"/>
      <c r="D88" s="6"/>
      <c r="E88" s="22"/>
      <c r="F88" s="30">
        <f t="shared" si="6"/>
        <v>126</v>
      </c>
      <c r="G88" s="6" t="e">
        <f>+VLOOKUP(F88,Validación!C:D,2,FALSE)</f>
        <v>#N/A</v>
      </c>
      <c r="H88" s="6"/>
      <c r="I88" s="30"/>
      <c r="J88" s="30"/>
      <c r="K88" s="30"/>
      <c r="L88" s="6" t="str">
        <f t="shared" si="7"/>
        <v>00:00,00</v>
      </c>
    </row>
    <row r="89" spans="1:12" x14ac:dyDescent="0.25">
      <c r="A89" s="6"/>
      <c r="B89" s="6"/>
      <c r="C89" s="6"/>
      <c r="D89" s="6"/>
      <c r="E89" s="22"/>
      <c r="F89" s="30">
        <f t="shared" si="6"/>
        <v>126</v>
      </c>
      <c r="G89" s="6" t="e">
        <f>+VLOOKUP(F89,Validación!C:D,2,FALSE)</f>
        <v>#N/A</v>
      </c>
      <c r="H89" s="6"/>
      <c r="I89" s="30"/>
      <c r="J89" s="30"/>
      <c r="K89" s="30"/>
      <c r="L89" s="6" t="str">
        <f t="shared" si="7"/>
        <v>00:00,00</v>
      </c>
    </row>
    <row r="90" spans="1:12" x14ac:dyDescent="0.25">
      <c r="A90" s="6"/>
      <c r="B90" s="6"/>
      <c r="C90" s="6"/>
      <c r="D90" s="6"/>
      <c r="E90" s="22"/>
      <c r="F90" s="30">
        <f t="shared" si="6"/>
        <v>126</v>
      </c>
      <c r="G90" s="6" t="e">
        <f>+VLOOKUP(F90,Validación!C:D,2,FALSE)</f>
        <v>#N/A</v>
      </c>
      <c r="H90" s="6"/>
      <c r="I90" s="30"/>
      <c r="J90" s="30"/>
      <c r="K90" s="30"/>
      <c r="L90" s="6" t="str">
        <f t="shared" si="7"/>
        <v>00:00,00</v>
      </c>
    </row>
    <row r="91" spans="1:12" x14ac:dyDescent="0.25">
      <c r="A91" s="6"/>
      <c r="B91" s="6"/>
      <c r="C91" s="6"/>
      <c r="D91" s="6"/>
      <c r="E91" s="22"/>
      <c r="F91" s="30">
        <f t="shared" si="6"/>
        <v>126</v>
      </c>
      <c r="G91" s="6" t="e">
        <f>+VLOOKUP(F91,Validación!C:D,2,FALSE)</f>
        <v>#N/A</v>
      </c>
      <c r="H91" s="6"/>
      <c r="I91" s="30"/>
      <c r="J91" s="30"/>
      <c r="K91" s="30"/>
      <c r="L91" s="6" t="str">
        <f t="shared" si="7"/>
        <v>00:00,00</v>
      </c>
    </row>
    <row r="92" spans="1:12" x14ac:dyDescent="0.25">
      <c r="A92" s="6"/>
      <c r="B92" s="6"/>
      <c r="C92" s="6"/>
      <c r="D92" s="6"/>
      <c r="E92" s="22"/>
      <c r="F92" s="30">
        <f t="shared" si="6"/>
        <v>126</v>
      </c>
      <c r="G92" s="6" t="e">
        <f>+VLOOKUP(F92,Validación!C:D,2,FALSE)</f>
        <v>#N/A</v>
      </c>
      <c r="H92" s="6"/>
      <c r="I92" s="30"/>
      <c r="J92" s="30"/>
      <c r="K92" s="30"/>
      <c r="L92" s="6" t="str">
        <f t="shared" si="7"/>
        <v>00:00,00</v>
      </c>
    </row>
    <row r="93" spans="1:12" x14ac:dyDescent="0.25">
      <c r="A93" s="6"/>
      <c r="B93" s="6"/>
      <c r="C93" s="6"/>
      <c r="D93" s="6"/>
      <c r="E93" s="22"/>
      <c r="F93" s="30">
        <f t="shared" si="6"/>
        <v>126</v>
      </c>
      <c r="G93" s="6" t="e">
        <f>+VLOOKUP(F93,Validación!C:D,2,FALSE)</f>
        <v>#N/A</v>
      </c>
      <c r="H93" s="6"/>
      <c r="I93" s="30"/>
      <c r="J93" s="30"/>
      <c r="K93" s="30"/>
      <c r="L93" s="6" t="str">
        <f t="shared" si="7"/>
        <v>00:00,00</v>
      </c>
    </row>
    <row r="94" spans="1:12" x14ac:dyDescent="0.25">
      <c r="A94" s="6"/>
      <c r="B94" s="6"/>
      <c r="C94" s="6"/>
      <c r="D94" s="6"/>
      <c r="E94" s="22"/>
      <c r="F94" s="30">
        <f t="shared" si="6"/>
        <v>126</v>
      </c>
      <c r="G94" s="6" t="e">
        <f>+VLOOKUP(F94,Validación!C:D,2,FALSE)</f>
        <v>#N/A</v>
      </c>
      <c r="H94" s="6"/>
      <c r="I94" s="30"/>
      <c r="J94" s="30"/>
      <c r="K94" s="30"/>
      <c r="L94" s="6" t="str">
        <f t="shared" si="7"/>
        <v>00:00,00</v>
      </c>
    </row>
    <row r="95" spans="1:12" x14ac:dyDescent="0.25">
      <c r="A95" s="6"/>
      <c r="B95" s="6"/>
      <c r="C95" s="6"/>
      <c r="D95" s="6"/>
      <c r="E95" s="22"/>
      <c r="F95" s="30">
        <f t="shared" si="6"/>
        <v>126</v>
      </c>
      <c r="G95" s="6" t="e">
        <f>+VLOOKUP(F95,Validación!C:D,2,FALSE)</f>
        <v>#N/A</v>
      </c>
      <c r="H95" s="6"/>
      <c r="I95" s="30"/>
      <c r="J95" s="30"/>
      <c r="K95" s="30"/>
      <c r="L95" s="6" t="str">
        <f t="shared" si="7"/>
        <v>00:00,00</v>
      </c>
    </row>
    <row r="96" spans="1:12" x14ac:dyDescent="0.25">
      <c r="A96" s="6"/>
      <c r="B96" s="6"/>
      <c r="C96" s="6"/>
      <c r="D96" s="6"/>
      <c r="E96" s="22"/>
      <c r="F96" s="30">
        <f t="shared" si="6"/>
        <v>126</v>
      </c>
      <c r="G96" s="6" t="e">
        <f>+VLOOKUP(F96,Validación!C:D,2,FALSE)</f>
        <v>#N/A</v>
      </c>
      <c r="H96" s="6"/>
      <c r="I96" s="30"/>
      <c r="J96" s="30"/>
      <c r="K96" s="30"/>
      <c r="L96" s="6" t="str">
        <f t="shared" si="7"/>
        <v>00:00,00</v>
      </c>
    </row>
    <row r="97" spans="1:12" x14ac:dyDescent="0.25">
      <c r="A97" s="6"/>
      <c r="B97" s="6"/>
      <c r="C97" s="6"/>
      <c r="D97" s="6"/>
      <c r="E97" s="22"/>
      <c r="F97" s="30">
        <f t="shared" si="6"/>
        <v>126</v>
      </c>
      <c r="G97" s="6" t="e">
        <f>+VLOOKUP(F97,Validación!C:D,2,FALSE)</f>
        <v>#N/A</v>
      </c>
      <c r="H97" s="6"/>
      <c r="I97" s="30"/>
      <c r="J97" s="30"/>
      <c r="K97" s="30"/>
      <c r="L97" s="6" t="str">
        <f t="shared" si="7"/>
        <v>00:00,00</v>
      </c>
    </row>
    <row r="98" spans="1:12" x14ac:dyDescent="0.25">
      <c r="A98" s="6"/>
      <c r="B98" s="6"/>
      <c r="C98" s="6"/>
      <c r="D98" s="6"/>
      <c r="E98" s="22"/>
      <c r="F98" s="30">
        <f t="shared" si="6"/>
        <v>126</v>
      </c>
      <c r="G98" s="6" t="e">
        <f>+VLOOKUP(F98,Validación!C:D,2,FALSE)</f>
        <v>#N/A</v>
      </c>
      <c r="H98" s="6"/>
      <c r="I98" s="30"/>
      <c r="J98" s="30"/>
      <c r="K98" s="30"/>
      <c r="L98" s="6" t="str">
        <f t="shared" si="7"/>
        <v>00:00,00</v>
      </c>
    </row>
    <row r="99" spans="1:12" x14ac:dyDescent="0.25">
      <c r="A99" s="6"/>
      <c r="B99" s="6"/>
      <c r="C99" s="6"/>
      <c r="D99" s="6"/>
      <c r="E99" s="22"/>
      <c r="F99" s="30">
        <f t="shared" si="6"/>
        <v>126</v>
      </c>
      <c r="G99" s="6" t="e">
        <f>+VLOOKUP(F99,Validación!C:D,2,FALSE)</f>
        <v>#N/A</v>
      </c>
      <c r="H99" s="6"/>
      <c r="I99" s="30"/>
      <c r="J99" s="30"/>
      <c r="K99" s="30"/>
      <c r="L99" s="6" t="str">
        <f t="shared" si="7"/>
        <v>00:00,00</v>
      </c>
    </row>
    <row r="100" spans="1:12" x14ac:dyDescent="0.25">
      <c r="A100" s="6"/>
      <c r="B100" s="6"/>
      <c r="C100" s="6"/>
      <c r="D100" s="6"/>
      <c r="E100" s="22"/>
      <c r="F100" s="30">
        <f t="shared" si="6"/>
        <v>126</v>
      </c>
      <c r="G100" s="6" t="e">
        <f>+VLOOKUP(F100,Validación!C:D,2,FALSE)</f>
        <v>#N/A</v>
      </c>
      <c r="H100" s="6"/>
      <c r="I100" s="30"/>
      <c r="J100" s="30"/>
      <c r="K100" s="30"/>
      <c r="L100" s="6" t="str">
        <f t="shared" si="7"/>
        <v>00:00,00</v>
      </c>
    </row>
    <row r="101" spans="1:12" x14ac:dyDescent="0.25">
      <c r="A101" s="6"/>
      <c r="B101" s="6"/>
      <c r="C101" s="6"/>
      <c r="D101" s="6"/>
      <c r="E101" s="22"/>
      <c r="F101" s="30">
        <f t="shared" si="6"/>
        <v>126</v>
      </c>
      <c r="G101" s="6" t="e">
        <f>+VLOOKUP(F101,Validación!C:D,2,FALSE)</f>
        <v>#N/A</v>
      </c>
      <c r="H101" s="6"/>
      <c r="I101" s="30"/>
      <c r="J101" s="30"/>
      <c r="K101" s="30"/>
      <c r="L101" s="6" t="str">
        <f t="shared" si="7"/>
        <v>00:00,00</v>
      </c>
    </row>
    <row r="102" spans="1:12" x14ac:dyDescent="0.25">
      <c r="A102" s="6"/>
      <c r="B102" s="6"/>
      <c r="C102" s="6"/>
      <c r="D102" s="6"/>
      <c r="E102" s="22"/>
      <c r="F102" s="30">
        <f t="shared" si="6"/>
        <v>126</v>
      </c>
      <c r="G102" s="6" t="e">
        <f>+VLOOKUP(F102,Validación!C:D,2,FALSE)</f>
        <v>#N/A</v>
      </c>
      <c r="H102" s="6"/>
      <c r="I102" s="30"/>
      <c r="J102" s="30"/>
      <c r="K102" s="30"/>
      <c r="L102" s="6" t="str">
        <f t="shared" si="7"/>
        <v>00:00,00</v>
      </c>
    </row>
    <row r="103" spans="1:12" x14ac:dyDescent="0.25">
      <c r="A103" s="6"/>
      <c r="B103" s="6"/>
      <c r="C103" s="6"/>
      <c r="D103" s="6"/>
      <c r="E103" s="22"/>
      <c r="F103" s="30">
        <f t="shared" si="6"/>
        <v>126</v>
      </c>
      <c r="G103" s="6" t="e">
        <f>+VLOOKUP(F103,Validación!C:D,2,FALSE)</f>
        <v>#N/A</v>
      </c>
      <c r="H103" s="6"/>
      <c r="I103" s="30"/>
      <c r="J103" s="30"/>
      <c r="K103" s="30"/>
      <c r="L103" s="6" t="str">
        <f t="shared" si="7"/>
        <v>00:00,00</v>
      </c>
    </row>
    <row r="104" spans="1:12" x14ac:dyDescent="0.25">
      <c r="A104" s="6"/>
      <c r="B104" s="6"/>
      <c r="C104" s="6"/>
      <c r="D104" s="6"/>
      <c r="E104" s="22"/>
      <c r="F104" s="30">
        <f t="shared" si="6"/>
        <v>126</v>
      </c>
      <c r="G104" s="6" t="e">
        <f>+VLOOKUP(F104,Validación!C:D,2,FALSE)</f>
        <v>#N/A</v>
      </c>
      <c r="H104" s="6"/>
      <c r="I104" s="30"/>
      <c r="J104" s="30"/>
      <c r="K104" s="30"/>
      <c r="L104" s="6" t="str">
        <f t="shared" si="7"/>
        <v>00:00,00</v>
      </c>
    </row>
    <row r="105" spans="1:12" x14ac:dyDescent="0.25">
      <c r="A105" s="6"/>
      <c r="B105" s="6"/>
      <c r="C105" s="6"/>
      <c r="D105" s="6"/>
      <c r="E105" s="22"/>
      <c r="F105" s="30">
        <f t="shared" si="6"/>
        <v>126</v>
      </c>
      <c r="G105" s="6" t="e">
        <f>+VLOOKUP(F105,Validación!C:D,2,FALSE)</f>
        <v>#N/A</v>
      </c>
      <c r="H105" s="6"/>
      <c r="I105" s="30"/>
      <c r="J105" s="30"/>
      <c r="K105" s="30"/>
      <c r="L105" s="6" t="str">
        <f t="shared" si="7"/>
        <v>00:00,00</v>
      </c>
    </row>
    <row r="106" spans="1:12" x14ac:dyDescent="0.25">
      <c r="A106" s="6"/>
      <c r="B106" s="6"/>
      <c r="C106" s="6"/>
      <c r="D106" s="6"/>
      <c r="E106" s="22"/>
      <c r="F106" s="30">
        <f t="shared" si="6"/>
        <v>126</v>
      </c>
      <c r="G106" s="6" t="e">
        <f>+VLOOKUP(F106,Validación!C:D,2,FALSE)</f>
        <v>#N/A</v>
      </c>
      <c r="H106" s="6"/>
      <c r="I106" s="30"/>
      <c r="J106" s="30"/>
      <c r="K106" s="30"/>
      <c r="L106" s="6" t="str">
        <f t="shared" si="7"/>
        <v>00:00,00</v>
      </c>
    </row>
    <row r="107" spans="1:12" x14ac:dyDescent="0.25">
      <c r="A107" s="6"/>
      <c r="B107" s="6"/>
      <c r="C107" s="6"/>
      <c r="D107" s="6"/>
      <c r="E107" s="22"/>
      <c r="F107" s="30">
        <f t="shared" si="6"/>
        <v>126</v>
      </c>
      <c r="G107" s="6" t="e">
        <f>+VLOOKUP(F107,Validación!C:D,2,FALSE)</f>
        <v>#N/A</v>
      </c>
      <c r="H107" s="6"/>
      <c r="I107" s="30"/>
      <c r="J107" s="30"/>
      <c r="K107" s="30"/>
      <c r="L107" s="6" t="str">
        <f t="shared" si="7"/>
        <v>00:00,00</v>
      </c>
    </row>
    <row r="108" spans="1:12" x14ac:dyDescent="0.25">
      <c r="A108" s="6"/>
      <c r="B108" s="6"/>
      <c r="C108" s="6"/>
      <c r="D108" s="6"/>
      <c r="E108" s="22"/>
      <c r="F108" s="30">
        <f t="shared" si="6"/>
        <v>126</v>
      </c>
      <c r="G108" s="6" t="e">
        <f>+VLOOKUP(F108,Validación!C:D,2,FALSE)</f>
        <v>#N/A</v>
      </c>
      <c r="H108" s="6"/>
      <c r="I108" s="30"/>
      <c r="J108" s="30"/>
      <c r="K108" s="30"/>
      <c r="L108" s="6" t="str">
        <f t="shared" si="7"/>
        <v>00:00,00</v>
      </c>
    </row>
    <row r="109" spans="1:12" x14ac:dyDescent="0.25">
      <c r="A109" s="6"/>
      <c r="B109" s="6"/>
      <c r="C109" s="6"/>
      <c r="D109" s="6"/>
      <c r="E109" s="22"/>
      <c r="F109" s="30">
        <f t="shared" si="6"/>
        <v>126</v>
      </c>
      <c r="G109" s="6" t="e">
        <f>+VLOOKUP(F109,Validación!C:D,2,FALSE)</f>
        <v>#N/A</v>
      </c>
      <c r="H109" s="6"/>
      <c r="I109" s="30"/>
      <c r="J109" s="30"/>
      <c r="K109" s="30"/>
      <c r="L109" s="6" t="str">
        <f t="shared" si="7"/>
        <v>00:00,00</v>
      </c>
    </row>
    <row r="110" spans="1:12" x14ac:dyDescent="0.25">
      <c r="A110" s="6"/>
      <c r="B110" s="6"/>
      <c r="C110" s="6"/>
      <c r="D110" s="6"/>
      <c r="E110" s="22"/>
      <c r="F110" s="30">
        <f t="shared" si="6"/>
        <v>126</v>
      </c>
      <c r="G110" s="6" t="e">
        <f>+VLOOKUP(F110,Validación!C:D,2,FALSE)</f>
        <v>#N/A</v>
      </c>
      <c r="H110" s="6"/>
      <c r="I110" s="30"/>
      <c r="J110" s="30"/>
      <c r="K110" s="30"/>
      <c r="L110" s="6" t="str">
        <f t="shared" si="7"/>
        <v>00:00,00</v>
      </c>
    </row>
    <row r="111" spans="1:12" x14ac:dyDescent="0.25">
      <c r="A111" s="6"/>
      <c r="B111" s="6"/>
      <c r="C111" s="6"/>
      <c r="D111" s="6"/>
      <c r="E111" s="22"/>
      <c r="F111" s="30">
        <f t="shared" si="6"/>
        <v>126</v>
      </c>
      <c r="G111" s="6" t="e">
        <f>+VLOOKUP(F111,Validación!C:D,2,FALSE)</f>
        <v>#N/A</v>
      </c>
      <c r="H111" s="6"/>
      <c r="I111" s="30"/>
      <c r="J111" s="30"/>
      <c r="K111" s="30"/>
      <c r="L111" s="6" t="str">
        <f t="shared" si="7"/>
        <v>00:00,00</v>
      </c>
    </row>
    <row r="112" spans="1:12" x14ac:dyDescent="0.25">
      <c r="A112" s="6"/>
      <c r="B112" s="6"/>
      <c r="C112" s="6"/>
      <c r="D112" s="6"/>
      <c r="E112" s="22"/>
      <c r="F112" s="30">
        <f t="shared" si="6"/>
        <v>126</v>
      </c>
      <c r="G112" s="6" t="e">
        <f>+VLOOKUP(F112,Validación!C:D,2,FALSE)</f>
        <v>#N/A</v>
      </c>
      <c r="H112" s="6"/>
      <c r="I112" s="30"/>
      <c r="J112" s="30"/>
      <c r="K112" s="30"/>
      <c r="L112" s="6" t="str">
        <f t="shared" si="7"/>
        <v>00:00,00</v>
      </c>
    </row>
    <row r="113" spans="1:12" x14ac:dyDescent="0.25">
      <c r="A113" s="6"/>
      <c r="B113" s="6"/>
      <c r="C113" s="6"/>
      <c r="D113" s="6"/>
      <c r="E113" s="22"/>
      <c r="F113" s="30">
        <f t="shared" si="6"/>
        <v>126</v>
      </c>
      <c r="G113" s="6" t="e">
        <f>+VLOOKUP(F113,Validación!C:D,2,FALSE)</f>
        <v>#N/A</v>
      </c>
      <c r="H113" s="6"/>
      <c r="I113" s="30"/>
      <c r="J113" s="30"/>
      <c r="K113" s="30"/>
      <c r="L113" s="6" t="str">
        <f t="shared" si="7"/>
        <v>00:00,00</v>
      </c>
    </row>
    <row r="114" spans="1:12" x14ac:dyDescent="0.25">
      <c r="A114" s="6"/>
      <c r="B114" s="6"/>
      <c r="C114" s="6"/>
      <c r="D114" s="6"/>
      <c r="E114" s="22"/>
      <c r="F114" s="30">
        <f t="shared" si="6"/>
        <v>126</v>
      </c>
      <c r="G114" s="6" t="e">
        <f>+VLOOKUP(F114,Validación!C:D,2,FALSE)</f>
        <v>#N/A</v>
      </c>
      <c r="H114" s="6"/>
      <c r="I114" s="30"/>
      <c r="J114" s="30"/>
      <c r="K114" s="30"/>
      <c r="L114" s="6" t="str">
        <f t="shared" si="7"/>
        <v>00:00,00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Validación!$F$2:$F$4</xm:f>
          </x14:formula1>
          <xm:sqref>R43 H8:H114</xm:sqref>
        </x14:dataValidation>
        <x14:dataValidation type="list" allowBlank="1" showInputMessage="1" showErrorMessage="1">
          <x14:formula1>
            <xm:f>Validación!$A$2:$A$11</xm:f>
          </x14:formula1>
          <xm:sqref>B8:B114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A5" sqref="A5"/>
    </sheetView>
  </sheetViews>
  <sheetFormatPr baseColWidth="10" defaultRowHeight="15" x14ac:dyDescent="0.25"/>
  <cols>
    <col min="1" max="1" width="14.140625" bestFit="1" customWidth="1"/>
  </cols>
  <sheetData>
    <row r="1" spans="1:6" x14ac:dyDescent="0.25">
      <c r="A1" t="s">
        <v>11</v>
      </c>
      <c r="C1" t="s">
        <v>9</v>
      </c>
      <c r="D1" t="s">
        <v>3</v>
      </c>
      <c r="F1" t="s">
        <v>22</v>
      </c>
    </row>
    <row r="2" spans="1:6" x14ac:dyDescent="0.25">
      <c r="A2" t="s">
        <v>36</v>
      </c>
      <c r="C2">
        <v>18</v>
      </c>
      <c r="D2" t="s">
        <v>16</v>
      </c>
      <c r="F2" t="s">
        <v>21</v>
      </c>
    </row>
    <row r="3" spans="1:6" x14ac:dyDescent="0.25">
      <c r="A3" t="s">
        <v>48</v>
      </c>
      <c r="C3">
        <v>19</v>
      </c>
      <c r="D3" t="s">
        <v>16</v>
      </c>
      <c r="F3" t="s">
        <v>23</v>
      </c>
    </row>
    <row r="4" spans="1:6" x14ac:dyDescent="0.25">
      <c r="A4" t="s">
        <v>49</v>
      </c>
      <c r="C4">
        <v>20</v>
      </c>
      <c r="D4" t="s">
        <v>16</v>
      </c>
      <c r="F4" t="s">
        <v>24</v>
      </c>
    </row>
    <row r="5" spans="1:6" x14ac:dyDescent="0.25">
      <c r="A5" t="s">
        <v>40</v>
      </c>
      <c r="C5">
        <v>21</v>
      </c>
      <c r="D5" t="s">
        <v>16</v>
      </c>
    </row>
    <row r="6" spans="1:6" x14ac:dyDescent="0.25">
      <c r="A6" t="s">
        <v>37</v>
      </c>
      <c r="C6">
        <v>22</v>
      </c>
      <c r="D6" t="s">
        <v>16</v>
      </c>
    </row>
    <row r="7" spans="1:6" x14ac:dyDescent="0.25">
      <c r="A7" t="s">
        <v>38</v>
      </c>
      <c r="C7">
        <v>23</v>
      </c>
      <c r="D7" t="s">
        <v>16</v>
      </c>
    </row>
    <row r="8" spans="1:6" x14ac:dyDescent="0.25">
      <c r="A8" t="s">
        <v>39</v>
      </c>
      <c r="C8">
        <v>24</v>
      </c>
      <c r="D8" t="s">
        <v>16</v>
      </c>
    </row>
    <row r="9" spans="1:6" x14ac:dyDescent="0.25">
      <c r="A9" t="s">
        <v>41</v>
      </c>
      <c r="C9">
        <v>25</v>
      </c>
      <c r="D9" t="s">
        <v>17</v>
      </c>
    </row>
    <row r="10" spans="1:6" x14ac:dyDescent="0.25">
      <c r="A10" t="s">
        <v>42</v>
      </c>
      <c r="C10">
        <v>26</v>
      </c>
      <c r="D10" t="s">
        <v>17</v>
      </c>
    </row>
    <row r="11" spans="1:6" x14ac:dyDescent="0.25">
      <c r="A11" t="s">
        <v>43</v>
      </c>
      <c r="C11">
        <v>27</v>
      </c>
      <c r="D11" t="s">
        <v>17</v>
      </c>
    </row>
    <row r="12" spans="1:6" x14ac:dyDescent="0.25">
      <c r="C12">
        <v>28</v>
      </c>
      <c r="D12" t="s">
        <v>17</v>
      </c>
    </row>
    <row r="13" spans="1:6" x14ac:dyDescent="0.25">
      <c r="C13">
        <v>29</v>
      </c>
      <c r="D13" t="s">
        <v>17</v>
      </c>
    </row>
    <row r="14" spans="1:6" x14ac:dyDescent="0.25">
      <c r="C14">
        <v>30</v>
      </c>
      <c r="D14" t="s">
        <v>18</v>
      </c>
    </row>
    <row r="15" spans="1:6" x14ac:dyDescent="0.25">
      <c r="C15">
        <v>31</v>
      </c>
      <c r="D15" t="s">
        <v>18</v>
      </c>
    </row>
    <row r="16" spans="1:6" x14ac:dyDescent="0.25">
      <c r="C16">
        <v>32</v>
      </c>
      <c r="D16" t="s">
        <v>18</v>
      </c>
    </row>
    <row r="17" spans="3:4" x14ac:dyDescent="0.25">
      <c r="C17">
        <v>33</v>
      </c>
      <c r="D17" t="s">
        <v>18</v>
      </c>
    </row>
    <row r="18" spans="3:4" x14ac:dyDescent="0.25">
      <c r="C18">
        <v>34</v>
      </c>
      <c r="D18" t="s">
        <v>18</v>
      </c>
    </row>
    <row r="19" spans="3:4" x14ac:dyDescent="0.25">
      <c r="C19">
        <v>35</v>
      </c>
      <c r="D19" t="s">
        <v>19</v>
      </c>
    </row>
    <row r="20" spans="3:4" x14ac:dyDescent="0.25">
      <c r="C20">
        <v>36</v>
      </c>
      <c r="D20" t="s">
        <v>19</v>
      </c>
    </row>
    <row r="21" spans="3:4" x14ac:dyDescent="0.25">
      <c r="C21">
        <v>37</v>
      </c>
      <c r="D21" t="s">
        <v>19</v>
      </c>
    </row>
    <row r="22" spans="3:4" x14ac:dyDescent="0.25">
      <c r="C22">
        <v>38</v>
      </c>
      <c r="D22" t="s">
        <v>19</v>
      </c>
    </row>
    <row r="23" spans="3:4" x14ac:dyDescent="0.25">
      <c r="C23">
        <v>39</v>
      </c>
      <c r="D23" t="s">
        <v>19</v>
      </c>
    </row>
    <row r="24" spans="3:4" x14ac:dyDescent="0.25">
      <c r="C24">
        <v>40</v>
      </c>
      <c r="D24" t="s">
        <v>20</v>
      </c>
    </row>
    <row r="25" spans="3:4" x14ac:dyDescent="0.25">
      <c r="C25">
        <v>41</v>
      </c>
      <c r="D25" t="s">
        <v>20</v>
      </c>
    </row>
    <row r="26" spans="3:4" x14ac:dyDescent="0.25">
      <c r="C26">
        <v>42</v>
      </c>
      <c r="D26" t="s">
        <v>20</v>
      </c>
    </row>
    <row r="27" spans="3:4" x14ac:dyDescent="0.25">
      <c r="C27">
        <v>43</v>
      </c>
      <c r="D27" t="s">
        <v>20</v>
      </c>
    </row>
    <row r="28" spans="3:4" x14ac:dyDescent="0.25">
      <c r="C28">
        <v>44</v>
      </c>
      <c r="D28" t="s">
        <v>20</v>
      </c>
    </row>
    <row r="29" spans="3:4" x14ac:dyDescent="0.25">
      <c r="C29">
        <v>45</v>
      </c>
      <c r="D29" t="s">
        <v>21</v>
      </c>
    </row>
    <row r="30" spans="3:4" x14ac:dyDescent="0.25">
      <c r="C30">
        <v>46</v>
      </c>
      <c r="D30" t="s">
        <v>21</v>
      </c>
    </row>
    <row r="31" spans="3:4" x14ac:dyDescent="0.25">
      <c r="C31">
        <v>47</v>
      </c>
      <c r="D31" t="s">
        <v>21</v>
      </c>
    </row>
    <row r="32" spans="3:4" x14ac:dyDescent="0.25">
      <c r="C32">
        <v>48</v>
      </c>
      <c r="D32" t="s">
        <v>21</v>
      </c>
    </row>
    <row r="33" spans="3:4" x14ac:dyDescent="0.25">
      <c r="C33">
        <v>49</v>
      </c>
      <c r="D33" t="s">
        <v>21</v>
      </c>
    </row>
    <row r="34" spans="3:4" x14ac:dyDescent="0.25">
      <c r="C34">
        <v>50</v>
      </c>
      <c r="D34" t="s">
        <v>32</v>
      </c>
    </row>
    <row r="35" spans="3:4" x14ac:dyDescent="0.25">
      <c r="C35">
        <v>51</v>
      </c>
      <c r="D35" t="s">
        <v>32</v>
      </c>
    </row>
    <row r="36" spans="3:4" x14ac:dyDescent="0.25">
      <c r="C36">
        <v>52</v>
      </c>
      <c r="D36" t="s">
        <v>32</v>
      </c>
    </row>
    <row r="37" spans="3:4" x14ac:dyDescent="0.25">
      <c r="C37">
        <v>53</v>
      </c>
      <c r="D37" t="s">
        <v>32</v>
      </c>
    </row>
    <row r="38" spans="3:4" x14ac:dyDescent="0.25">
      <c r="C38">
        <v>54</v>
      </c>
      <c r="D38" t="s">
        <v>32</v>
      </c>
    </row>
    <row r="39" spans="3:4" x14ac:dyDescent="0.25">
      <c r="C39">
        <v>55</v>
      </c>
      <c r="D39" t="s">
        <v>33</v>
      </c>
    </row>
    <row r="40" spans="3:4" x14ac:dyDescent="0.25">
      <c r="C40">
        <v>56</v>
      </c>
      <c r="D40" t="s">
        <v>33</v>
      </c>
    </row>
    <row r="41" spans="3:4" x14ac:dyDescent="0.25">
      <c r="C41">
        <v>57</v>
      </c>
      <c r="D41" t="s">
        <v>33</v>
      </c>
    </row>
    <row r="42" spans="3:4" x14ac:dyDescent="0.25">
      <c r="C42">
        <v>58</v>
      </c>
      <c r="D42" t="s">
        <v>33</v>
      </c>
    </row>
    <row r="43" spans="3:4" x14ac:dyDescent="0.25">
      <c r="C43">
        <v>59</v>
      </c>
      <c r="D43" t="s">
        <v>33</v>
      </c>
    </row>
    <row r="44" spans="3:4" x14ac:dyDescent="0.25">
      <c r="C44">
        <v>60</v>
      </c>
      <c r="D44" t="s">
        <v>34</v>
      </c>
    </row>
    <row r="45" spans="3:4" x14ac:dyDescent="0.25">
      <c r="C45">
        <v>61</v>
      </c>
      <c r="D45" t="s">
        <v>34</v>
      </c>
    </row>
    <row r="46" spans="3:4" x14ac:dyDescent="0.25">
      <c r="C46">
        <v>62</v>
      </c>
      <c r="D46" t="s">
        <v>34</v>
      </c>
    </row>
    <row r="47" spans="3:4" x14ac:dyDescent="0.25">
      <c r="C47">
        <v>63</v>
      </c>
      <c r="D47" t="s">
        <v>34</v>
      </c>
    </row>
    <row r="48" spans="3:4" x14ac:dyDescent="0.25">
      <c r="C48">
        <v>64</v>
      </c>
      <c r="D48" t="s">
        <v>34</v>
      </c>
    </row>
    <row r="49" spans="3:4" x14ac:dyDescent="0.25">
      <c r="C49">
        <v>65</v>
      </c>
      <c r="D49" t="s">
        <v>35</v>
      </c>
    </row>
    <row r="50" spans="3:4" x14ac:dyDescent="0.25">
      <c r="C50">
        <v>66</v>
      </c>
      <c r="D50" t="s">
        <v>35</v>
      </c>
    </row>
    <row r="51" spans="3:4" x14ac:dyDescent="0.25">
      <c r="C51">
        <v>67</v>
      </c>
      <c r="D51" t="s">
        <v>35</v>
      </c>
    </row>
    <row r="52" spans="3:4" x14ac:dyDescent="0.25">
      <c r="C52">
        <v>68</v>
      </c>
      <c r="D52" t="s">
        <v>35</v>
      </c>
    </row>
    <row r="53" spans="3:4" x14ac:dyDescent="0.25">
      <c r="C53">
        <v>69</v>
      </c>
      <c r="D53" t="s">
        <v>35</v>
      </c>
    </row>
    <row r="54" spans="3:4" x14ac:dyDescent="0.25">
      <c r="C54">
        <v>70</v>
      </c>
      <c r="D54" t="s">
        <v>35</v>
      </c>
    </row>
    <row r="55" spans="3:4" x14ac:dyDescent="0.25">
      <c r="C55">
        <v>71</v>
      </c>
      <c r="D55" t="s">
        <v>35</v>
      </c>
    </row>
    <row r="56" spans="3:4" x14ac:dyDescent="0.25">
      <c r="C56">
        <v>72</v>
      </c>
      <c r="D56" t="s">
        <v>35</v>
      </c>
    </row>
    <row r="57" spans="3:4" x14ac:dyDescent="0.25">
      <c r="C57">
        <v>73</v>
      </c>
      <c r="D57" t="s">
        <v>35</v>
      </c>
    </row>
    <row r="58" spans="3:4" x14ac:dyDescent="0.25">
      <c r="C58">
        <v>74</v>
      </c>
      <c r="D58" t="s">
        <v>35</v>
      </c>
    </row>
    <row r="59" spans="3:4" x14ac:dyDescent="0.25">
      <c r="C59">
        <v>75</v>
      </c>
      <c r="D59" t="s">
        <v>35</v>
      </c>
    </row>
    <row r="60" spans="3:4" x14ac:dyDescent="0.25">
      <c r="C60">
        <v>76</v>
      </c>
      <c r="D60" t="s">
        <v>35</v>
      </c>
    </row>
    <row r="61" spans="3:4" x14ac:dyDescent="0.25">
      <c r="C61">
        <v>77</v>
      </c>
      <c r="D61" t="s">
        <v>35</v>
      </c>
    </row>
    <row r="62" spans="3:4" x14ac:dyDescent="0.25">
      <c r="C62">
        <v>78</v>
      </c>
      <c r="D62" t="s">
        <v>35</v>
      </c>
    </row>
    <row r="63" spans="3:4" x14ac:dyDescent="0.25">
      <c r="C63">
        <v>79</v>
      </c>
      <c r="D63" t="s">
        <v>35</v>
      </c>
    </row>
    <row r="64" spans="3:4" x14ac:dyDescent="0.25">
      <c r="C64">
        <v>80</v>
      </c>
      <c r="D64" t="s">
        <v>35</v>
      </c>
    </row>
    <row r="65" spans="3:4" x14ac:dyDescent="0.25">
      <c r="C65">
        <v>81</v>
      </c>
      <c r="D65" t="s">
        <v>35</v>
      </c>
    </row>
    <row r="66" spans="3:4" x14ac:dyDescent="0.25">
      <c r="C66">
        <v>82</v>
      </c>
      <c r="D66" t="s">
        <v>35</v>
      </c>
    </row>
    <row r="67" spans="3:4" x14ac:dyDescent="0.25">
      <c r="C67">
        <v>83</v>
      </c>
      <c r="D67" t="s">
        <v>35</v>
      </c>
    </row>
    <row r="68" spans="3:4" x14ac:dyDescent="0.25">
      <c r="C68">
        <v>84</v>
      </c>
      <c r="D68" t="s">
        <v>35</v>
      </c>
    </row>
    <row r="69" spans="3:4" x14ac:dyDescent="0.25">
      <c r="C69">
        <v>85</v>
      </c>
      <c r="D69" t="s">
        <v>35</v>
      </c>
    </row>
    <row r="70" spans="3:4" x14ac:dyDescent="0.25">
      <c r="C70">
        <v>86</v>
      </c>
      <c r="D70" t="s">
        <v>35</v>
      </c>
    </row>
    <row r="71" spans="3:4" x14ac:dyDescent="0.25">
      <c r="C71">
        <v>87</v>
      </c>
      <c r="D71" t="s">
        <v>35</v>
      </c>
    </row>
    <row r="72" spans="3:4" x14ac:dyDescent="0.25">
      <c r="C72">
        <v>88</v>
      </c>
      <c r="D72" t="s">
        <v>35</v>
      </c>
    </row>
    <row r="73" spans="3:4" x14ac:dyDescent="0.25">
      <c r="C73">
        <v>89</v>
      </c>
      <c r="D73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tabSelected="1" topLeftCell="A14" workbookViewId="0">
      <selection activeCell="C28" sqref="C28"/>
    </sheetView>
  </sheetViews>
  <sheetFormatPr baseColWidth="10" defaultRowHeight="15" x14ac:dyDescent="0.25"/>
  <cols>
    <col min="2" max="2" width="19.5703125" customWidth="1"/>
    <col min="3" max="3" width="26.7109375" bestFit="1" customWidth="1"/>
    <col min="4" max="4" width="15.140625" customWidth="1"/>
    <col min="5" max="5" width="16.7109375" style="19" bestFit="1" customWidth="1"/>
    <col min="6" max="6" width="9.85546875" style="27" customWidth="1"/>
    <col min="7" max="7" width="16.42578125" customWidth="1"/>
  </cols>
  <sheetData>
    <row r="1" spans="1:7" x14ac:dyDescent="0.25">
      <c r="A1" s="14" t="s">
        <v>31</v>
      </c>
    </row>
    <row r="2" spans="1:7" x14ac:dyDescent="0.25">
      <c r="A2" s="14" t="s">
        <v>30</v>
      </c>
    </row>
    <row r="5" spans="1:7" x14ac:dyDescent="0.25">
      <c r="A5" s="14" t="s">
        <v>0</v>
      </c>
    </row>
    <row r="6" spans="1:7" x14ac:dyDescent="0.25">
      <c r="A6" s="14" t="s">
        <v>46</v>
      </c>
    </row>
    <row r="7" spans="1:7" ht="15.75" thickBot="1" x14ac:dyDescent="0.3"/>
    <row r="8" spans="1:7" ht="15.75" thickBot="1" x14ac:dyDescent="0.3">
      <c r="A8" s="13" t="s">
        <v>2</v>
      </c>
      <c r="B8" s="13" t="s">
        <v>11</v>
      </c>
      <c r="C8" s="13" t="s">
        <v>6</v>
      </c>
      <c r="D8" s="13" t="s">
        <v>7</v>
      </c>
      <c r="E8" s="20" t="s">
        <v>8</v>
      </c>
      <c r="F8" s="26" t="s">
        <v>9</v>
      </c>
      <c r="G8" s="13" t="s">
        <v>12</v>
      </c>
    </row>
    <row r="9" spans="1:7" x14ac:dyDescent="0.25">
      <c r="A9" s="61" t="s">
        <v>16</v>
      </c>
      <c r="B9" s="61" t="s">
        <v>45</v>
      </c>
      <c r="C9" s="50" t="s">
        <v>67</v>
      </c>
      <c r="D9" s="42">
        <v>45269460</v>
      </c>
      <c r="E9" s="22">
        <v>37863</v>
      </c>
      <c r="F9" s="28">
        <f>DATEDIF(E9,DATE(2026,12,31),"Y")</f>
        <v>23</v>
      </c>
      <c r="G9" s="61" t="s">
        <v>17</v>
      </c>
    </row>
    <row r="10" spans="1:7" x14ac:dyDescent="0.25">
      <c r="A10" s="60"/>
      <c r="B10" s="60"/>
      <c r="C10" s="47" t="s">
        <v>74</v>
      </c>
      <c r="D10" s="42">
        <v>95686614</v>
      </c>
      <c r="E10" s="22">
        <v>34891</v>
      </c>
      <c r="F10" s="28">
        <f t="shared" ref="F10:F36" si="0">DATEDIF(E10,DATE(2026,12,31),"Y")</f>
        <v>31</v>
      </c>
      <c r="G10" s="60"/>
    </row>
    <row r="11" spans="1:7" x14ac:dyDescent="0.25">
      <c r="A11" s="60"/>
      <c r="B11" s="60"/>
      <c r="C11" s="48" t="s">
        <v>69</v>
      </c>
      <c r="D11" s="42">
        <v>96233792</v>
      </c>
      <c r="E11" s="22">
        <v>33248</v>
      </c>
      <c r="F11" s="28">
        <f t="shared" si="0"/>
        <v>35</v>
      </c>
      <c r="G11" s="60"/>
    </row>
    <row r="12" spans="1:7" x14ac:dyDescent="0.25">
      <c r="A12" s="60"/>
      <c r="B12" s="60"/>
      <c r="C12" s="47" t="s">
        <v>71</v>
      </c>
      <c r="D12" s="42">
        <v>34118815</v>
      </c>
      <c r="E12" s="22">
        <v>32541</v>
      </c>
      <c r="F12" s="46">
        <v>37</v>
      </c>
      <c r="G12" s="60"/>
    </row>
    <row r="13" spans="1:7" x14ac:dyDescent="0.25">
      <c r="A13" s="60" t="s">
        <v>17</v>
      </c>
      <c r="B13" s="60" t="s">
        <v>45</v>
      </c>
      <c r="C13" s="51" t="s">
        <v>70</v>
      </c>
      <c r="D13" s="42">
        <v>96291154</v>
      </c>
      <c r="E13" s="22">
        <v>38385</v>
      </c>
      <c r="F13" s="28">
        <f t="shared" si="0"/>
        <v>21</v>
      </c>
      <c r="G13" s="60" t="s">
        <v>16</v>
      </c>
    </row>
    <row r="14" spans="1:7" x14ac:dyDescent="0.25">
      <c r="A14" s="60"/>
      <c r="B14" s="60"/>
      <c r="C14" s="52" t="s">
        <v>53</v>
      </c>
      <c r="D14" s="42">
        <v>38132162</v>
      </c>
      <c r="E14" s="22">
        <v>34433</v>
      </c>
      <c r="F14" s="28">
        <f t="shared" si="0"/>
        <v>32</v>
      </c>
      <c r="G14" s="60"/>
    </row>
    <row r="15" spans="1:7" x14ac:dyDescent="0.25">
      <c r="A15" s="60"/>
      <c r="B15" s="60"/>
      <c r="C15" s="52" t="s">
        <v>62</v>
      </c>
      <c r="D15" s="42">
        <v>44917765</v>
      </c>
      <c r="E15" s="22">
        <v>37795</v>
      </c>
      <c r="F15" s="28">
        <f t="shared" si="0"/>
        <v>23</v>
      </c>
      <c r="G15" s="60"/>
    </row>
    <row r="16" spans="1:7" x14ac:dyDescent="0.25">
      <c r="A16" s="60"/>
      <c r="B16" s="60"/>
      <c r="C16" s="52" t="s">
        <v>54</v>
      </c>
      <c r="D16" s="42">
        <v>43909982</v>
      </c>
      <c r="E16" s="22">
        <v>37323</v>
      </c>
      <c r="F16" s="28">
        <f t="shared" si="0"/>
        <v>24</v>
      </c>
      <c r="G16" s="60"/>
    </row>
    <row r="17" spans="1:7" x14ac:dyDescent="0.25">
      <c r="A17" s="60" t="s">
        <v>18</v>
      </c>
      <c r="B17" s="60" t="s">
        <v>45</v>
      </c>
      <c r="C17" s="52" t="s">
        <v>65</v>
      </c>
      <c r="D17" s="42">
        <v>29664205</v>
      </c>
      <c r="E17" s="22">
        <v>30175</v>
      </c>
      <c r="F17" s="28">
        <f t="shared" si="0"/>
        <v>44</v>
      </c>
      <c r="G17" s="60" t="s">
        <v>18</v>
      </c>
    </row>
    <row r="18" spans="1:7" x14ac:dyDescent="0.25">
      <c r="A18" s="60"/>
      <c r="B18" s="60"/>
      <c r="C18" s="52" t="s">
        <v>56</v>
      </c>
      <c r="D18" s="39">
        <v>30861672</v>
      </c>
      <c r="E18" s="22">
        <v>30701</v>
      </c>
      <c r="F18" s="28">
        <f t="shared" si="0"/>
        <v>42</v>
      </c>
      <c r="G18" s="60"/>
    </row>
    <row r="19" spans="1:7" x14ac:dyDescent="0.25">
      <c r="A19" s="60"/>
      <c r="B19" s="60"/>
      <c r="C19" s="52" t="s">
        <v>51</v>
      </c>
      <c r="D19" s="42">
        <v>31404363</v>
      </c>
      <c r="E19" s="22">
        <v>31141</v>
      </c>
      <c r="F19" s="28">
        <f t="shared" si="0"/>
        <v>41</v>
      </c>
      <c r="G19" s="60"/>
    </row>
    <row r="20" spans="1:7" x14ac:dyDescent="0.25">
      <c r="A20" s="60"/>
      <c r="B20" s="60"/>
      <c r="C20" s="53" t="s">
        <v>73</v>
      </c>
      <c r="D20" s="37">
        <v>28829308</v>
      </c>
      <c r="E20" s="22">
        <v>29755</v>
      </c>
      <c r="F20" s="49">
        <v>45</v>
      </c>
      <c r="G20" s="60"/>
    </row>
    <row r="21" spans="1:7" x14ac:dyDescent="0.25">
      <c r="A21" s="60" t="s">
        <v>19</v>
      </c>
      <c r="B21" s="60" t="s">
        <v>45</v>
      </c>
      <c r="C21" s="52" t="s">
        <v>59</v>
      </c>
      <c r="D21" s="42">
        <v>34937080</v>
      </c>
      <c r="E21" s="22">
        <v>32848</v>
      </c>
      <c r="F21" s="28">
        <f t="shared" si="0"/>
        <v>37</v>
      </c>
      <c r="G21" s="60" t="s">
        <v>18</v>
      </c>
    </row>
    <row r="22" spans="1:7" x14ac:dyDescent="0.25">
      <c r="A22" s="60"/>
      <c r="B22" s="60"/>
      <c r="C22" s="52" t="s">
        <v>55</v>
      </c>
      <c r="D22" s="39">
        <v>34934235</v>
      </c>
      <c r="E22" s="22">
        <v>32919</v>
      </c>
      <c r="F22" s="28">
        <f t="shared" si="0"/>
        <v>36</v>
      </c>
      <c r="G22" s="60"/>
    </row>
    <row r="23" spans="1:7" x14ac:dyDescent="0.25">
      <c r="A23" s="60"/>
      <c r="B23" s="60"/>
      <c r="C23" s="52" t="s">
        <v>66</v>
      </c>
      <c r="D23" s="42">
        <v>36658642</v>
      </c>
      <c r="E23" s="22">
        <v>33945</v>
      </c>
      <c r="F23" s="28">
        <f t="shared" si="0"/>
        <v>34</v>
      </c>
      <c r="G23" s="60"/>
    </row>
    <row r="24" spans="1:7" x14ac:dyDescent="0.25">
      <c r="A24" s="60"/>
      <c r="B24" s="60"/>
      <c r="C24" s="52" t="s">
        <v>63</v>
      </c>
      <c r="D24" s="39">
        <v>40362905</v>
      </c>
      <c r="E24" s="22">
        <v>32930</v>
      </c>
      <c r="F24" s="28">
        <f t="shared" si="0"/>
        <v>36</v>
      </c>
      <c r="G24" s="60"/>
    </row>
    <row r="25" spans="1:7" x14ac:dyDescent="0.25">
      <c r="A25" s="60" t="s">
        <v>20</v>
      </c>
      <c r="B25" s="60" t="s">
        <v>45</v>
      </c>
      <c r="C25" s="52" t="s">
        <v>61</v>
      </c>
      <c r="D25" s="42">
        <v>36238855</v>
      </c>
      <c r="E25" s="22">
        <v>33457</v>
      </c>
      <c r="F25" s="28">
        <f t="shared" si="0"/>
        <v>35</v>
      </c>
      <c r="G25" s="60" t="s">
        <v>17</v>
      </c>
    </row>
    <row r="26" spans="1:7" x14ac:dyDescent="0.25">
      <c r="A26" s="60"/>
      <c r="B26" s="60"/>
      <c r="C26" s="52" t="s">
        <v>64</v>
      </c>
      <c r="D26" s="42">
        <v>37579659</v>
      </c>
      <c r="E26" s="22">
        <v>34234</v>
      </c>
      <c r="F26" s="28">
        <f t="shared" si="0"/>
        <v>33</v>
      </c>
      <c r="G26" s="60"/>
    </row>
    <row r="27" spans="1:7" x14ac:dyDescent="0.25">
      <c r="A27" s="60"/>
      <c r="B27" s="60"/>
      <c r="C27" s="52" t="s">
        <v>57</v>
      </c>
      <c r="D27" s="42">
        <v>32251124</v>
      </c>
      <c r="E27" s="22">
        <v>31849</v>
      </c>
      <c r="F27" s="28">
        <f t="shared" si="0"/>
        <v>39</v>
      </c>
      <c r="G27" s="60"/>
    </row>
    <row r="28" spans="1:7" x14ac:dyDescent="0.25">
      <c r="A28" s="60"/>
      <c r="B28" s="60"/>
      <c r="C28" s="63" t="s">
        <v>76</v>
      </c>
      <c r="D28" s="37">
        <v>19132515</v>
      </c>
      <c r="E28" s="22">
        <v>34939</v>
      </c>
      <c r="F28" s="28">
        <f t="shared" si="0"/>
        <v>31</v>
      </c>
      <c r="G28" s="60"/>
    </row>
    <row r="29" spans="1:7" x14ac:dyDescent="0.25">
      <c r="A29" s="60" t="s">
        <v>21</v>
      </c>
      <c r="B29" s="60" t="s">
        <v>45</v>
      </c>
      <c r="C29" s="52" t="s">
        <v>52</v>
      </c>
      <c r="D29" s="42">
        <v>37767077</v>
      </c>
      <c r="E29" s="22">
        <v>34279</v>
      </c>
      <c r="F29" s="28">
        <f>DATEDIF(E29,DATE(2026,12,31),"Y")</f>
        <v>33</v>
      </c>
      <c r="G29" s="60" t="s">
        <v>17</v>
      </c>
    </row>
    <row r="30" spans="1:7" x14ac:dyDescent="0.25">
      <c r="A30" s="60"/>
      <c r="B30" s="60"/>
      <c r="C30" s="52" t="s">
        <v>60</v>
      </c>
      <c r="D30" s="42">
        <v>40969916</v>
      </c>
      <c r="E30" s="22">
        <v>35872</v>
      </c>
      <c r="F30" s="28">
        <f t="shared" si="0"/>
        <v>28</v>
      </c>
      <c r="G30" s="60"/>
    </row>
    <row r="31" spans="1:7" x14ac:dyDescent="0.25">
      <c r="A31" s="60"/>
      <c r="B31" s="60"/>
      <c r="C31" s="52" t="s">
        <v>58</v>
      </c>
      <c r="D31" s="42">
        <v>36005142</v>
      </c>
      <c r="E31" s="22">
        <v>33635</v>
      </c>
      <c r="F31" s="28">
        <f t="shared" si="0"/>
        <v>34</v>
      </c>
      <c r="G31" s="60"/>
    </row>
    <row r="32" spans="1:7" x14ac:dyDescent="0.25">
      <c r="A32" s="60"/>
      <c r="B32" s="60"/>
      <c r="C32" s="52" t="s">
        <v>68</v>
      </c>
      <c r="D32" s="42">
        <v>30476072</v>
      </c>
      <c r="E32" s="22">
        <v>30676</v>
      </c>
      <c r="F32" s="28">
        <f t="shared" si="0"/>
        <v>43</v>
      </c>
      <c r="G32" s="60"/>
    </row>
    <row r="33" spans="1:7" x14ac:dyDescent="0.25">
      <c r="A33" s="60"/>
      <c r="B33" s="60" t="s">
        <v>45</v>
      </c>
      <c r="C33" s="9"/>
      <c r="D33" s="9"/>
      <c r="E33" s="10"/>
      <c r="F33" s="28">
        <f t="shared" si="0"/>
        <v>126</v>
      </c>
      <c r="G33" s="60"/>
    </row>
    <row r="34" spans="1:7" x14ac:dyDescent="0.25">
      <c r="A34" s="60"/>
      <c r="B34" s="60"/>
      <c r="C34" s="9"/>
      <c r="D34" s="9"/>
      <c r="E34" s="10"/>
      <c r="F34" s="28">
        <f t="shared" si="0"/>
        <v>126</v>
      </c>
      <c r="G34" s="60"/>
    </row>
    <row r="35" spans="1:7" x14ac:dyDescent="0.25">
      <c r="A35" s="60"/>
      <c r="B35" s="60"/>
      <c r="C35" s="9"/>
      <c r="D35" s="9"/>
      <c r="E35" s="10"/>
      <c r="F35" s="28">
        <f t="shared" si="0"/>
        <v>126</v>
      </c>
      <c r="G35" s="60"/>
    </row>
    <row r="36" spans="1:7" x14ac:dyDescent="0.25">
      <c r="A36" s="60"/>
      <c r="B36" s="60"/>
      <c r="C36" s="9"/>
      <c r="D36" s="9"/>
      <c r="E36" s="10"/>
      <c r="F36" s="28">
        <f t="shared" si="0"/>
        <v>126</v>
      </c>
      <c r="G36" s="60"/>
    </row>
    <row r="40" spans="1:7" x14ac:dyDescent="0.25">
      <c r="A40" s="14" t="s">
        <v>0</v>
      </c>
    </row>
    <row r="41" spans="1:7" x14ac:dyDescent="0.25">
      <c r="A41" s="14" t="s">
        <v>44</v>
      </c>
    </row>
    <row r="42" spans="1:7" ht="15.75" thickBot="1" x14ac:dyDescent="0.3"/>
    <row r="43" spans="1:7" ht="15.75" thickBot="1" x14ac:dyDescent="0.3">
      <c r="A43" s="13" t="s">
        <v>2</v>
      </c>
      <c r="B43" s="13" t="s">
        <v>11</v>
      </c>
      <c r="C43" s="13" t="s">
        <v>6</v>
      </c>
      <c r="D43" s="13" t="s">
        <v>7</v>
      </c>
      <c r="E43" s="20" t="s">
        <v>8</v>
      </c>
      <c r="F43" s="26" t="s">
        <v>9</v>
      </c>
      <c r="G43" s="13" t="s">
        <v>12</v>
      </c>
    </row>
    <row r="44" spans="1:7" x14ac:dyDescent="0.25">
      <c r="A44" s="61" t="s">
        <v>16</v>
      </c>
      <c r="B44" s="61" t="s">
        <v>47</v>
      </c>
      <c r="C44" s="50" t="s">
        <v>67</v>
      </c>
      <c r="D44" s="42">
        <v>45269460</v>
      </c>
      <c r="E44" s="22">
        <v>37863</v>
      </c>
      <c r="F44" s="28">
        <f>DATEDIF(E44,DATE(2026,12,31),"Y")</f>
        <v>23</v>
      </c>
      <c r="G44" s="61" t="s">
        <v>17</v>
      </c>
    </row>
    <row r="45" spans="1:7" x14ac:dyDescent="0.25">
      <c r="A45" s="60"/>
      <c r="B45" s="60"/>
      <c r="C45" s="47" t="s">
        <v>74</v>
      </c>
      <c r="D45" s="42">
        <v>95686614</v>
      </c>
      <c r="E45" s="22">
        <v>34891</v>
      </c>
      <c r="F45" s="28">
        <f t="shared" ref="F45:F71" si="1">DATEDIF(E45,DATE(2026,12,31),"Y")</f>
        <v>31</v>
      </c>
      <c r="G45" s="60"/>
    </row>
    <row r="46" spans="1:7" x14ac:dyDescent="0.25">
      <c r="A46" s="60"/>
      <c r="B46" s="60"/>
      <c r="C46" s="48" t="s">
        <v>69</v>
      </c>
      <c r="D46" s="42">
        <v>96233792</v>
      </c>
      <c r="E46" s="22">
        <v>33248</v>
      </c>
      <c r="F46" s="28">
        <f t="shared" si="1"/>
        <v>35</v>
      </c>
      <c r="G46" s="60"/>
    </row>
    <row r="47" spans="1:7" x14ac:dyDescent="0.25">
      <c r="A47" s="60"/>
      <c r="B47" s="60"/>
      <c r="C47" s="47" t="s">
        <v>71</v>
      </c>
      <c r="D47" s="42">
        <v>34118815</v>
      </c>
      <c r="E47" s="22">
        <v>32541</v>
      </c>
      <c r="F47" s="28">
        <f t="shared" si="1"/>
        <v>37</v>
      </c>
      <c r="G47" s="60"/>
    </row>
    <row r="48" spans="1:7" x14ac:dyDescent="0.25">
      <c r="A48" s="60" t="s">
        <v>17</v>
      </c>
      <c r="B48" s="61" t="s">
        <v>47</v>
      </c>
      <c r="C48" s="51" t="s">
        <v>70</v>
      </c>
      <c r="D48" s="42">
        <v>96291154</v>
      </c>
      <c r="E48" s="22">
        <v>38385</v>
      </c>
      <c r="F48" s="28">
        <f t="shared" si="1"/>
        <v>21</v>
      </c>
      <c r="G48" s="60" t="s">
        <v>16</v>
      </c>
    </row>
    <row r="49" spans="1:7" x14ac:dyDescent="0.25">
      <c r="A49" s="60"/>
      <c r="B49" s="60"/>
      <c r="C49" s="52" t="s">
        <v>53</v>
      </c>
      <c r="D49" s="42">
        <v>38132162</v>
      </c>
      <c r="E49" s="22">
        <v>34433</v>
      </c>
      <c r="F49" s="28">
        <f t="shared" si="1"/>
        <v>32</v>
      </c>
      <c r="G49" s="60"/>
    </row>
    <row r="50" spans="1:7" x14ac:dyDescent="0.25">
      <c r="A50" s="60"/>
      <c r="B50" s="60"/>
      <c r="C50" s="52" t="s">
        <v>62</v>
      </c>
      <c r="D50" s="42">
        <v>44917765</v>
      </c>
      <c r="E50" s="22">
        <v>37795</v>
      </c>
      <c r="F50" s="28">
        <f t="shared" si="1"/>
        <v>23</v>
      </c>
      <c r="G50" s="60"/>
    </row>
    <row r="51" spans="1:7" x14ac:dyDescent="0.25">
      <c r="A51" s="60"/>
      <c r="B51" s="60"/>
      <c r="C51" s="52" t="s">
        <v>54</v>
      </c>
      <c r="D51" s="42">
        <v>43909982</v>
      </c>
      <c r="E51" s="22">
        <v>37323</v>
      </c>
      <c r="F51" s="28">
        <f t="shared" si="1"/>
        <v>24</v>
      </c>
      <c r="G51" s="60"/>
    </row>
    <row r="52" spans="1:7" x14ac:dyDescent="0.25">
      <c r="A52" s="60" t="s">
        <v>18</v>
      </c>
      <c r="B52" s="61" t="s">
        <v>47</v>
      </c>
      <c r="C52" s="52" t="s">
        <v>65</v>
      </c>
      <c r="D52" s="42">
        <v>29664205</v>
      </c>
      <c r="E52" s="22">
        <v>30175</v>
      </c>
      <c r="F52" s="28">
        <f t="shared" si="1"/>
        <v>44</v>
      </c>
      <c r="G52" s="60" t="s">
        <v>18</v>
      </c>
    </row>
    <row r="53" spans="1:7" x14ac:dyDescent="0.25">
      <c r="A53" s="60"/>
      <c r="B53" s="60"/>
      <c r="C53" s="52" t="s">
        <v>56</v>
      </c>
      <c r="D53" s="39">
        <v>30861672</v>
      </c>
      <c r="E53" s="22">
        <v>30701</v>
      </c>
      <c r="F53" s="28">
        <f t="shared" si="1"/>
        <v>42</v>
      </c>
      <c r="G53" s="60"/>
    </row>
    <row r="54" spans="1:7" x14ac:dyDescent="0.25">
      <c r="A54" s="60"/>
      <c r="B54" s="60"/>
      <c r="C54" s="52" t="s">
        <v>51</v>
      </c>
      <c r="D54" s="42">
        <v>31404363</v>
      </c>
      <c r="E54" s="22">
        <v>31141</v>
      </c>
      <c r="F54" s="28">
        <f t="shared" si="1"/>
        <v>41</v>
      </c>
      <c r="G54" s="60"/>
    </row>
    <row r="55" spans="1:7" x14ac:dyDescent="0.25">
      <c r="A55" s="60"/>
      <c r="B55" s="60"/>
      <c r="C55" s="53" t="s">
        <v>73</v>
      </c>
      <c r="D55" s="37">
        <v>28829308</v>
      </c>
      <c r="E55" s="22">
        <v>29755</v>
      </c>
      <c r="F55" s="28">
        <f t="shared" si="1"/>
        <v>45</v>
      </c>
      <c r="G55" s="60"/>
    </row>
    <row r="56" spans="1:7" x14ac:dyDescent="0.25">
      <c r="A56" s="60" t="s">
        <v>19</v>
      </c>
      <c r="B56" s="61" t="s">
        <v>47</v>
      </c>
      <c r="C56" s="52" t="s">
        <v>59</v>
      </c>
      <c r="D56" s="42">
        <v>34937080</v>
      </c>
      <c r="E56" s="22">
        <v>32848</v>
      </c>
      <c r="F56" s="28">
        <f t="shared" si="1"/>
        <v>37</v>
      </c>
      <c r="G56" s="60" t="s">
        <v>18</v>
      </c>
    </row>
    <row r="57" spans="1:7" x14ac:dyDescent="0.25">
      <c r="A57" s="60"/>
      <c r="B57" s="60"/>
      <c r="C57" s="52" t="s">
        <v>55</v>
      </c>
      <c r="D57" s="39">
        <v>34934235</v>
      </c>
      <c r="E57" s="22">
        <v>32919</v>
      </c>
      <c r="F57" s="28">
        <f t="shared" si="1"/>
        <v>36</v>
      </c>
      <c r="G57" s="60"/>
    </row>
    <row r="58" spans="1:7" x14ac:dyDescent="0.25">
      <c r="A58" s="60"/>
      <c r="B58" s="60"/>
      <c r="C58" s="52" t="s">
        <v>66</v>
      </c>
      <c r="D58" s="42">
        <v>36658642</v>
      </c>
      <c r="E58" s="22">
        <v>33945</v>
      </c>
      <c r="F58" s="28">
        <f t="shared" si="1"/>
        <v>34</v>
      </c>
      <c r="G58" s="60"/>
    </row>
    <row r="59" spans="1:7" x14ac:dyDescent="0.25">
      <c r="A59" s="60"/>
      <c r="B59" s="60"/>
      <c r="C59" s="52" t="s">
        <v>63</v>
      </c>
      <c r="D59" s="39">
        <v>40362905</v>
      </c>
      <c r="E59" s="22">
        <v>32930</v>
      </c>
      <c r="F59" s="28">
        <f t="shared" si="1"/>
        <v>36</v>
      </c>
      <c r="G59" s="60"/>
    </row>
    <row r="60" spans="1:7" x14ac:dyDescent="0.25">
      <c r="A60" s="60" t="s">
        <v>20</v>
      </c>
      <c r="B60" s="61" t="s">
        <v>47</v>
      </c>
      <c r="C60" s="52" t="s">
        <v>61</v>
      </c>
      <c r="D60" s="42">
        <v>36238855</v>
      </c>
      <c r="E60" s="22">
        <v>33457</v>
      </c>
      <c r="F60" s="28">
        <f t="shared" si="1"/>
        <v>35</v>
      </c>
      <c r="G60" s="60" t="s">
        <v>17</v>
      </c>
    </row>
    <row r="61" spans="1:7" x14ac:dyDescent="0.25">
      <c r="A61" s="60"/>
      <c r="B61" s="60"/>
      <c r="C61" s="52" t="s">
        <v>64</v>
      </c>
      <c r="D61" s="42">
        <v>37579659</v>
      </c>
      <c r="E61" s="22">
        <v>34234</v>
      </c>
      <c r="F61" s="28">
        <f t="shared" si="1"/>
        <v>33</v>
      </c>
      <c r="G61" s="60"/>
    </row>
    <row r="62" spans="1:7" x14ac:dyDescent="0.25">
      <c r="A62" s="60"/>
      <c r="B62" s="60"/>
      <c r="C62" s="52" t="s">
        <v>57</v>
      </c>
      <c r="D62" s="42">
        <v>32251124</v>
      </c>
      <c r="E62" s="22">
        <v>31849</v>
      </c>
      <c r="F62" s="28">
        <f t="shared" si="1"/>
        <v>39</v>
      </c>
      <c r="G62" s="60"/>
    </row>
    <row r="63" spans="1:7" x14ac:dyDescent="0.25">
      <c r="A63" s="60"/>
      <c r="B63" s="60"/>
      <c r="C63" s="64" t="s">
        <v>76</v>
      </c>
      <c r="D63" s="37">
        <v>19132515</v>
      </c>
      <c r="E63" s="22">
        <v>34939</v>
      </c>
      <c r="F63" s="28">
        <f>DATEDIF(E63,DATE(2026,12,31),"Y")</f>
        <v>31</v>
      </c>
      <c r="G63" s="60"/>
    </row>
    <row r="64" spans="1:7" x14ac:dyDescent="0.25">
      <c r="A64" s="60" t="s">
        <v>21</v>
      </c>
      <c r="B64" s="61" t="s">
        <v>47</v>
      </c>
      <c r="C64" s="47" t="s">
        <v>52</v>
      </c>
      <c r="D64" s="42">
        <v>37767077</v>
      </c>
      <c r="E64" s="22">
        <v>34279</v>
      </c>
      <c r="F64" s="28">
        <f t="shared" si="1"/>
        <v>33</v>
      </c>
      <c r="G64" s="60" t="s">
        <v>17</v>
      </c>
    </row>
    <row r="65" spans="1:7" x14ac:dyDescent="0.25">
      <c r="A65" s="60"/>
      <c r="B65" s="60"/>
      <c r="C65" s="47" t="s">
        <v>60</v>
      </c>
      <c r="D65" s="42">
        <v>40969916</v>
      </c>
      <c r="E65" s="22">
        <v>35872</v>
      </c>
      <c r="F65" s="28">
        <f t="shared" si="1"/>
        <v>28</v>
      </c>
      <c r="G65" s="60"/>
    </row>
    <row r="66" spans="1:7" x14ac:dyDescent="0.25">
      <c r="A66" s="60"/>
      <c r="B66" s="60"/>
      <c r="C66" s="47" t="s">
        <v>58</v>
      </c>
      <c r="D66" s="42">
        <v>36005142</v>
      </c>
      <c r="E66" s="22">
        <v>33635</v>
      </c>
      <c r="F66" s="28">
        <f t="shared" si="1"/>
        <v>34</v>
      </c>
      <c r="G66" s="60"/>
    </row>
    <row r="67" spans="1:7" x14ac:dyDescent="0.25">
      <c r="A67" s="60"/>
      <c r="B67" s="60"/>
      <c r="C67" s="47" t="s">
        <v>68</v>
      </c>
      <c r="D67" s="42">
        <v>30476072</v>
      </c>
      <c r="E67" s="22">
        <v>30676</v>
      </c>
      <c r="F67" s="28">
        <f t="shared" si="1"/>
        <v>43</v>
      </c>
      <c r="G67" s="60"/>
    </row>
    <row r="68" spans="1:7" x14ac:dyDescent="0.25">
      <c r="A68" s="60"/>
      <c r="B68" s="61" t="s">
        <v>47</v>
      </c>
      <c r="C68" s="9"/>
      <c r="D68" s="9"/>
      <c r="E68" s="10"/>
      <c r="F68" s="28">
        <f t="shared" si="1"/>
        <v>126</v>
      </c>
      <c r="G68" s="60"/>
    </row>
    <row r="69" spans="1:7" x14ac:dyDescent="0.25">
      <c r="A69" s="60"/>
      <c r="B69" s="60"/>
      <c r="C69" s="9"/>
      <c r="D69" s="9"/>
      <c r="E69" s="10"/>
      <c r="F69" s="28">
        <f t="shared" si="1"/>
        <v>126</v>
      </c>
      <c r="G69" s="60"/>
    </row>
    <row r="70" spans="1:7" x14ac:dyDescent="0.25">
      <c r="A70" s="60"/>
      <c r="B70" s="60"/>
      <c r="C70" s="9"/>
      <c r="D70" s="9"/>
      <c r="E70" s="10"/>
      <c r="F70" s="28">
        <f t="shared" si="1"/>
        <v>126</v>
      </c>
      <c r="G70" s="60"/>
    </row>
    <row r="71" spans="1:7" x14ac:dyDescent="0.25">
      <c r="A71" s="60"/>
      <c r="B71" s="60"/>
      <c r="C71" s="9"/>
      <c r="D71" s="9"/>
      <c r="E71" s="10"/>
      <c r="F71" s="28">
        <f t="shared" si="1"/>
        <v>126</v>
      </c>
      <c r="G71" s="60"/>
    </row>
  </sheetData>
  <mergeCells count="42">
    <mergeCell ref="A17:A20"/>
    <mergeCell ref="B17:B20"/>
    <mergeCell ref="G17:G20"/>
    <mergeCell ref="A9:A12"/>
    <mergeCell ref="B9:B12"/>
    <mergeCell ref="G9:G12"/>
    <mergeCell ref="A13:A16"/>
    <mergeCell ref="B13:B16"/>
    <mergeCell ref="G13:G16"/>
    <mergeCell ref="A33:A36"/>
    <mergeCell ref="B33:B36"/>
    <mergeCell ref="G21:G24"/>
    <mergeCell ref="G25:G28"/>
    <mergeCell ref="G29:G32"/>
    <mergeCell ref="G33:G36"/>
    <mergeCell ref="A21:A24"/>
    <mergeCell ref="B21:B24"/>
    <mergeCell ref="A25:A28"/>
    <mergeCell ref="B25:B28"/>
    <mergeCell ref="A29:A32"/>
    <mergeCell ref="B29:B32"/>
    <mergeCell ref="A44:A47"/>
    <mergeCell ref="B44:B47"/>
    <mergeCell ref="G44:G47"/>
    <mergeCell ref="A48:A51"/>
    <mergeCell ref="B48:B51"/>
    <mergeCell ref="G48:G51"/>
    <mergeCell ref="A52:A55"/>
    <mergeCell ref="B52:B55"/>
    <mergeCell ref="G52:G55"/>
    <mergeCell ref="A56:A59"/>
    <mergeCell ref="B56:B59"/>
    <mergeCell ref="G56:G59"/>
    <mergeCell ref="A68:A71"/>
    <mergeCell ref="B68:B71"/>
    <mergeCell ref="G68:G71"/>
    <mergeCell ref="A60:A63"/>
    <mergeCell ref="B60:B63"/>
    <mergeCell ref="G60:G63"/>
    <mergeCell ref="A64:A67"/>
    <mergeCell ref="B64:B67"/>
    <mergeCell ref="G64:G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Posta Americana</vt:lpstr>
      <vt:lpstr>Pruebas individuales</vt:lpstr>
      <vt:lpstr>Validación</vt:lpstr>
      <vt:lpstr>Postas por equipos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Gimenez Carbonari, Joan Manuel</dc:creator>
  <cp:lastModifiedBy>Leandro</cp:lastModifiedBy>
  <cp:lastPrinted>2021-09-29T16:55:27Z</cp:lastPrinted>
  <dcterms:created xsi:type="dcterms:W3CDTF">2021-07-30T18:40:21Z</dcterms:created>
  <dcterms:modified xsi:type="dcterms:W3CDTF">2026-10-02T01:56:01Z</dcterms:modified>
</cp:coreProperties>
</file>